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pac-my.sharepoint.com/personal/shay_tsaban_pac_org_il/Documents/CLB/Principles of Finance/2025C/Final Exam 2025C Moed A 27102025/"/>
    </mc:Choice>
  </mc:AlternateContent>
  <xr:revisionPtr revIDLastSave="0" documentId="8_{AAEB334E-DF12-714C-89D1-CC32F615FB16}" xr6:coauthVersionLast="47" xr6:coauthVersionMax="47" xr10:uidLastSave="{00000000-0000-0000-0000-000000000000}"/>
  <bookViews>
    <workbookView xWindow="-13940" yWindow="1880" windowWidth="49920" windowHeight="22780" xr2:uid="{521A69F0-A57C-2446-9932-AA608AF67AEB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9" i="1" l="1"/>
  <c r="C162" i="1"/>
  <c r="H161" i="1"/>
  <c r="G161" i="1"/>
  <c r="F161" i="1"/>
  <c r="E161" i="1"/>
  <c r="D161" i="1"/>
  <c r="H160" i="1"/>
  <c r="H159" i="1"/>
  <c r="H162" i="1" s="1"/>
  <c r="C172" i="1" s="1"/>
  <c r="G159" i="1"/>
  <c r="G162" i="1" s="1"/>
  <c r="C171" i="1" s="1"/>
  <c r="F159" i="1"/>
  <c r="F162" i="1" s="1"/>
  <c r="C170" i="1" s="1"/>
  <c r="E159" i="1"/>
  <c r="E162" i="1" s="1"/>
  <c r="C169" i="1" s="1"/>
  <c r="D159" i="1"/>
  <c r="D162" i="1" s="1"/>
  <c r="C168" i="1" s="1"/>
  <c r="D135" i="1"/>
  <c r="B135" i="1"/>
  <c r="D134" i="1"/>
  <c r="B134" i="1"/>
  <c r="C128" i="1"/>
  <c r="F108" i="1"/>
  <c r="F107" i="1"/>
  <c r="F106" i="1"/>
  <c r="F105" i="1"/>
  <c r="E87" i="1"/>
  <c r="E86" i="1"/>
  <c r="F87" i="1"/>
  <c r="F86" i="1"/>
  <c r="G68" i="1"/>
  <c r="F68" i="1"/>
  <c r="E68" i="1"/>
  <c r="L8" i="1"/>
  <c r="G58" i="1"/>
  <c r="M8" i="1" s="1"/>
  <c r="G45" i="1"/>
  <c r="N7" i="1" s="1"/>
  <c r="G43" i="1"/>
  <c r="E28" i="1"/>
  <c r="E27" i="1"/>
  <c r="G28" i="1"/>
  <c r="G27" i="1"/>
  <c r="G29" i="1" s="1"/>
  <c r="F31" i="1" s="1"/>
  <c r="K6" i="1"/>
  <c r="K7" i="1" s="1"/>
  <c r="K8" i="1" s="1"/>
  <c r="K9" i="1" s="1"/>
  <c r="K10" i="1" s="1"/>
  <c r="K11" i="1" s="1"/>
  <c r="K12" i="1" s="1"/>
  <c r="K16" i="1" s="1"/>
  <c r="F14" i="1"/>
  <c r="G11" i="1"/>
  <c r="G12" i="1"/>
  <c r="C135" i="1" l="1"/>
  <c r="C134" i="1"/>
  <c r="D174" i="1"/>
  <c r="L16" i="1" s="1"/>
  <c r="F88" i="1"/>
  <c r="E90" i="1" s="1"/>
  <c r="E89" i="1" s="1"/>
  <c r="L10" i="1" s="1"/>
  <c r="G15" i="1"/>
  <c r="F13" i="1" s="1"/>
  <c r="F15" i="1" s="1"/>
  <c r="E13" i="1" s="1"/>
  <c r="E15" i="1" s="1"/>
  <c r="L5" i="1" s="1"/>
  <c r="G44" i="1"/>
  <c r="M7" i="1" s="1"/>
  <c r="L7" i="1"/>
  <c r="F29" i="1"/>
  <c r="E31" i="1" s="1"/>
  <c r="E29" i="1" s="1"/>
  <c r="L6" i="1" s="1"/>
</calcChain>
</file>

<file path=xl/sharedStrings.xml><?xml version="1.0" encoding="utf-8"?>
<sst xmlns="http://schemas.openxmlformats.org/spreadsheetml/2006/main" count="97" uniqueCount="55">
  <si>
    <t>CMPD</t>
  </si>
  <si>
    <t>Set</t>
  </si>
  <si>
    <t>n</t>
  </si>
  <si>
    <t>PV</t>
  </si>
  <si>
    <t>PMT</t>
  </si>
  <si>
    <t>FV</t>
  </si>
  <si>
    <t>3 Years</t>
  </si>
  <si>
    <t>End</t>
  </si>
  <si>
    <t>I%</t>
  </si>
  <si>
    <t>7 Years</t>
  </si>
  <si>
    <t>2 Years</t>
  </si>
  <si>
    <t>פתרון - יסודות המימון א - המרכז האקדמי למשפט ועסקים ברמת גן</t>
  </si>
  <si>
    <t>סמסטר 2025ג, מועד א, 27.10.2025</t>
  </si>
  <si>
    <t>שאלה</t>
  </si>
  <si>
    <t>Years 4,5</t>
  </si>
  <si>
    <t>Year 3</t>
  </si>
  <si>
    <t>Years 1,2</t>
  </si>
  <si>
    <t>א</t>
  </si>
  <si>
    <t>ג</t>
  </si>
  <si>
    <t>ב</t>
  </si>
  <si>
    <t>תשובה</t>
  </si>
  <si>
    <t>ב (אם יש)</t>
  </si>
  <si>
    <t>ג (אם יש)</t>
  </si>
  <si>
    <t>ד (אם יש)</t>
  </si>
  <si>
    <t>ה (אם יש)</t>
  </si>
  <si>
    <t>עם ריבית</t>
  </si>
  <si>
    <t>עדיף א</t>
  </si>
  <si>
    <t>Years 68-120</t>
  </si>
  <si>
    <t>Years 43-67</t>
  </si>
  <si>
    <t>ד</t>
  </si>
  <si>
    <t>ה</t>
  </si>
  <si>
    <t>עדיפה ובפער</t>
  </si>
  <si>
    <t>ו (אם יש)</t>
  </si>
  <si>
    <t>עדיף ה</t>
  </si>
  <si>
    <t>IRR</t>
  </si>
  <si>
    <t>NPV</t>
  </si>
  <si>
    <t>הכל כדאי</t>
  </si>
  <si>
    <t>עדיף ג</t>
  </si>
  <si>
    <t>סתירה בשל גודל השקעה שונה</t>
  </si>
  <si>
    <t>עדיף לבצע את א - 3 פעמים</t>
  </si>
  <si>
    <t>השקעה</t>
  </si>
  <si>
    <t>מגן המס על הפחת</t>
  </si>
  <si>
    <t>מכירה השקעה כולל השפעת מס</t>
  </si>
  <si>
    <t>רווח נטו</t>
  </si>
  <si>
    <t>תזרים נטו</t>
  </si>
  <si>
    <t xml:space="preserve">I% = </t>
  </si>
  <si>
    <t>X</t>
  </si>
  <si>
    <t xml:space="preserve">NPV = </t>
  </si>
  <si>
    <t>הנתונים באלפי ש״ח לשם נוחות:</t>
  </si>
  <si>
    <t>כדאי</t>
  </si>
  <si>
    <t>הערה:</t>
  </si>
  <si>
    <t xml:space="preserve">ניתן פקטור בשל רמת קושי גבוהה של סעיפים ספציפיים קטנים שהפחיתו ניקוד בקטנה (כגון שאלות 8ה, וכן 5ה). </t>
  </si>
  <si>
    <t>כל השאלות תקינות על בסיס הפתרון לעיל, הפקטור הוא ״התחשבותי״.</t>
  </si>
  <si>
    <t xml:space="preserve">לכן ערר הקשור לסעיפים מורכבים יידחה אוטומטית, כי הפקטור מתייחס לכל התחשבות / תוספת ניקוד בגינן. </t>
  </si>
  <si>
    <t xml:space="preserve">ניתן לערער רק על טעות של הבודק בבדיקה - ולא על טעות שלכם בפרשנות לסעיפים מורכבים.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</si>
</sst>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David"/>
      <family val="2"/>
      <charset val="177"/>
    </font>
    <font>
      <sz val="12"/>
      <color rgb="FF00000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83CCEB"/>
        <bgColor rgb="FF000000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3" fontId="2" fillId="0" borderId="0" xfId="0" applyNumberFormat="1" applyFont="1"/>
    <xf numFmtId="2" fontId="2" fillId="2" borderId="0" xfId="0" applyNumberFormat="1" applyFont="1" applyFill="1" applyAlignment="1">
      <alignment horizontal="center"/>
    </xf>
    <xf numFmtId="0" fontId="2" fillId="3" borderId="0" xfId="0" applyFont="1" applyFill="1"/>
    <xf numFmtId="10" fontId="2" fillId="0" borderId="0" xfId="1" applyNumberFormat="1" applyFont="1"/>
    <xf numFmtId="10" fontId="2" fillId="0" borderId="0" xfId="0" applyNumberFormat="1" applyFont="1"/>
    <xf numFmtId="10" fontId="2" fillId="0" borderId="0" xfId="1" applyNumberFormat="1" applyFont="1" applyAlignment="1">
      <alignment horizontal="center"/>
    </xf>
    <xf numFmtId="9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0" fontId="2" fillId="4" borderId="0" xfId="0" applyFont="1" applyFill="1"/>
    <xf numFmtId="0" fontId="2" fillId="2" borderId="0" xfId="0" applyFont="1" applyFill="1"/>
    <xf numFmtId="9" fontId="2" fillId="2" borderId="0" xfId="0" applyNumberFormat="1" applyFont="1" applyFill="1"/>
    <xf numFmtId="2" fontId="2" fillId="2" borderId="0" xfId="0" applyNumberFormat="1" applyFont="1" applyFill="1"/>
    <xf numFmtId="0" fontId="2" fillId="0" borderId="1" xfId="0" applyFont="1" applyBorder="1"/>
    <xf numFmtId="0" fontId="2" fillId="0" borderId="2" xfId="0" applyFont="1" applyBorder="1"/>
    <xf numFmtId="9" fontId="2" fillId="2" borderId="2" xfId="0" applyNumberFormat="1" applyFont="1" applyFill="1" applyBorder="1"/>
    <xf numFmtId="9" fontId="2" fillId="0" borderId="2" xfId="0" applyNumberFormat="1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5" borderId="0" xfId="0" applyFont="1" applyFill="1" applyAlignment="1">
      <alignment readingOrder="1"/>
    </xf>
    <xf numFmtId="3" fontId="2" fillId="2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25401</xdr:colOff>
      <xdr:row>1</xdr:row>
      <xdr:rowOff>1</xdr:rowOff>
    </xdr:from>
    <xdr:to>
      <xdr:col>7</xdr:col>
      <xdr:colOff>294799</xdr:colOff>
      <xdr:row>6</xdr:row>
      <xdr:rowOff>38101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C48B0F-2240-3AE3-E7FE-FCF460FB1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8546168" y="203201"/>
          <a:ext cx="6420431" cy="1054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7</xdr:col>
      <xdr:colOff>541867</xdr:colOff>
      <xdr:row>23</xdr:row>
      <xdr:rowOff>78699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6977EC-40CA-B438-D2B8-C580C73EE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18451500" y="3251200"/>
          <a:ext cx="6692900" cy="12978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7</xdr:col>
      <xdr:colOff>110067</xdr:colOff>
      <xdr:row>41</xdr:row>
      <xdr:rowOff>87742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9D4C9B-F18E-9B06-1246-8C9507D0B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18883300" y="6705600"/>
          <a:ext cx="6261100" cy="17133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7</xdr:col>
      <xdr:colOff>173567</xdr:colOff>
      <xdr:row>55</xdr:row>
      <xdr:rowOff>111473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25A764-5B64-3496-FD00-441B35CF3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18819800" y="9753600"/>
          <a:ext cx="6324600" cy="15338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7</xdr:col>
      <xdr:colOff>220134</xdr:colOff>
      <xdr:row>65</xdr:row>
      <xdr:rowOff>152461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18B3421-F1B1-63AF-8B92-B518AE067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88102533" y="11988800"/>
          <a:ext cx="6392334" cy="13716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6</xdr:col>
      <xdr:colOff>753533</xdr:colOff>
      <xdr:row>81</xdr:row>
      <xdr:rowOff>128443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683AF9-99D0-BBD3-DE5A-20BF418C8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88424267" y="14427200"/>
          <a:ext cx="6070600" cy="21604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6</xdr:col>
      <xdr:colOff>651933</xdr:colOff>
      <xdr:row>102</xdr:row>
      <xdr:rowOff>91248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7EB9100-6594-742E-3C79-6226DA8B4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88720600" y="18694400"/>
          <a:ext cx="5969000" cy="21232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8</xdr:col>
      <xdr:colOff>770467</xdr:colOff>
      <xdr:row>124</xdr:row>
      <xdr:rowOff>92973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25F0C50-EB68-82BA-C618-CA782E390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586722467" y="31902400"/>
          <a:ext cx="7772400" cy="27345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8</xdr:col>
      <xdr:colOff>770467</xdr:colOff>
      <xdr:row>152</xdr:row>
      <xdr:rowOff>102782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E4B2EA3-B18D-718A-71E6-5659538D3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586722467" y="38201600"/>
          <a:ext cx="7772400" cy="233798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76F7-B535-C040-9189-2E17C37427D3}">
  <dimension ref="A1:Q174"/>
  <sheetViews>
    <sheetView rightToLeft="1" tabSelected="1" workbookViewId="0">
      <selection activeCell="K23" sqref="K23"/>
    </sheetView>
  </sheetViews>
  <sheetFormatPr baseColWidth="10" defaultRowHeight="16" x14ac:dyDescent="0.2"/>
  <cols>
    <col min="1" max="1" width="10.83203125" style="1"/>
    <col min="2" max="2" width="11.1640625" style="1" customWidth="1"/>
    <col min="3" max="4" width="10.83203125" style="1"/>
    <col min="5" max="5" width="12.6640625" style="1" bestFit="1" customWidth="1"/>
    <col min="6" max="6" width="13.1640625" style="1" bestFit="1" customWidth="1"/>
    <col min="7" max="7" width="11.1640625" style="1" bestFit="1" customWidth="1"/>
    <col min="8" max="16" width="10.83203125" style="1"/>
    <col min="17" max="17" width="24" style="1" bestFit="1" customWidth="1"/>
    <col min="18" max="16384" width="10.83203125" style="1"/>
  </cols>
  <sheetData>
    <row r="1" spans="1:17" x14ac:dyDescent="0.2">
      <c r="A1" s="7">
        <v>1</v>
      </c>
      <c r="K1" s="1" t="s">
        <v>11</v>
      </c>
    </row>
    <row r="2" spans="1:17" x14ac:dyDescent="0.2">
      <c r="K2" s="1" t="s">
        <v>12</v>
      </c>
    </row>
    <row r="4" spans="1:17" x14ac:dyDescent="0.2">
      <c r="K4" s="1" t="s">
        <v>13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32</v>
      </c>
    </row>
    <row r="5" spans="1:17" x14ac:dyDescent="0.2">
      <c r="K5" s="1">
        <v>1</v>
      </c>
      <c r="L5" s="5">
        <f>E15</f>
        <v>430509.59507527936</v>
      </c>
    </row>
    <row r="6" spans="1:17" x14ac:dyDescent="0.2">
      <c r="K6" s="1">
        <f>K5+1</f>
        <v>2</v>
      </c>
      <c r="L6" s="5">
        <f>-E29</f>
        <v>53919.705712086477</v>
      </c>
    </row>
    <row r="7" spans="1:17" x14ac:dyDescent="0.2">
      <c r="K7" s="1">
        <f t="shared" ref="K7:K12" si="0">K6+1</f>
        <v>3</v>
      </c>
      <c r="L7" s="9">
        <f>G43</f>
        <v>1.171491691985338E-2</v>
      </c>
      <c r="M7" s="5">
        <f>G44</f>
        <v>11649.139709956491</v>
      </c>
      <c r="N7" s="5">
        <f>G45</f>
        <v>11122.223842450885</v>
      </c>
    </row>
    <row r="8" spans="1:17" x14ac:dyDescent="0.2">
      <c r="K8" s="1">
        <f t="shared" si="0"/>
        <v>4</v>
      </c>
      <c r="L8" s="1" t="str">
        <f>G57</f>
        <v>עם ריבית</v>
      </c>
      <c r="M8" s="12">
        <f>G58</f>
        <v>0.13019218547337541</v>
      </c>
    </row>
    <row r="9" spans="1:17" x14ac:dyDescent="0.2">
      <c r="E9" s="3" t="s">
        <v>10</v>
      </c>
      <c r="F9" s="3" t="s">
        <v>9</v>
      </c>
      <c r="G9" s="3" t="s">
        <v>6</v>
      </c>
      <c r="H9" s="3" t="s">
        <v>0</v>
      </c>
      <c r="K9" s="1">
        <f t="shared" si="0"/>
        <v>5</v>
      </c>
      <c r="L9" s="5">
        <v>3500</v>
      </c>
      <c r="M9" s="5">
        <v>3673.3404460088336</v>
      </c>
      <c r="N9" s="5">
        <v>3855.2733308004508</v>
      </c>
      <c r="O9" s="5">
        <v>3823.7070530339724</v>
      </c>
      <c r="P9" s="1" t="s">
        <v>26</v>
      </c>
    </row>
    <row r="10" spans="1:17" x14ac:dyDescent="0.2">
      <c r="E10" s="3" t="s">
        <v>7</v>
      </c>
      <c r="F10" s="3" t="s">
        <v>7</v>
      </c>
      <c r="G10" s="3" t="s">
        <v>7</v>
      </c>
      <c r="H10" s="3" t="s">
        <v>1</v>
      </c>
      <c r="K10" s="1">
        <f t="shared" si="0"/>
        <v>6</v>
      </c>
      <c r="L10" s="5">
        <f>-E89</f>
        <v>1010.4292701524124</v>
      </c>
    </row>
    <row r="11" spans="1:17" ht="17" thickBot="1" x14ac:dyDescent="0.25">
      <c r="E11" s="3">
        <v>8</v>
      </c>
      <c r="F11" s="3">
        <v>8</v>
      </c>
      <c r="G11" s="3">
        <f>(1.1^0.25-1)*100</f>
        <v>2.4113689084445111</v>
      </c>
      <c r="H11" s="3" t="s">
        <v>8</v>
      </c>
      <c r="K11" s="1">
        <f t="shared" si="0"/>
        <v>7</v>
      </c>
      <c r="L11" s="9">
        <v>0.10381289062499977</v>
      </c>
      <c r="M11" s="9">
        <v>9.3806897670984268E-2</v>
      </c>
      <c r="N11" s="9">
        <v>0.1042604244041494</v>
      </c>
      <c r="O11" s="9">
        <v>4.0741542919790819E-2</v>
      </c>
      <c r="P11" s="9">
        <v>2.9186008964760601E-2</v>
      </c>
      <c r="Q11" s="1" t="s">
        <v>33</v>
      </c>
    </row>
    <row r="12" spans="1:17" x14ac:dyDescent="0.2">
      <c r="E12" s="3">
        <v>2</v>
      </c>
      <c r="F12" s="3">
        <v>7</v>
      </c>
      <c r="G12" s="3">
        <f>3*4</f>
        <v>12</v>
      </c>
      <c r="H12" s="3" t="s">
        <v>2</v>
      </c>
      <c r="K12" s="18">
        <f t="shared" si="0"/>
        <v>8</v>
      </c>
      <c r="L12" s="19" t="s">
        <v>34</v>
      </c>
      <c r="M12" s="20">
        <v>0.39078689596453864</v>
      </c>
      <c r="N12" s="21">
        <v>0.34903445656115628</v>
      </c>
      <c r="O12" s="21">
        <v>0.33494880205412114</v>
      </c>
      <c r="P12" s="19" t="s">
        <v>36</v>
      </c>
      <c r="Q12" s="22" t="s">
        <v>26</v>
      </c>
    </row>
    <row r="13" spans="1:17" x14ac:dyDescent="0.2">
      <c r="E13" s="4">
        <f>-F15</f>
        <v>-369092.58837043837</v>
      </c>
      <c r="F13" s="4">
        <f>-G15</f>
        <v>-137266.42938824123</v>
      </c>
      <c r="G13" s="3">
        <v>0</v>
      </c>
      <c r="H13" s="3" t="s">
        <v>3</v>
      </c>
      <c r="K13" s="23"/>
      <c r="L13" s="1" t="s">
        <v>35</v>
      </c>
      <c r="M13" s="5">
        <v>10358.923570794341</v>
      </c>
      <c r="N13" s="5">
        <v>17547.981695239389</v>
      </c>
      <c r="O13" s="29">
        <v>24737.039819684447</v>
      </c>
      <c r="P13" s="1" t="s">
        <v>36</v>
      </c>
      <c r="Q13" s="24" t="s">
        <v>37</v>
      </c>
    </row>
    <row r="14" spans="1:17" x14ac:dyDescent="0.2">
      <c r="E14" s="3">
        <v>0</v>
      </c>
      <c r="F14" s="4">
        <f>-15000</f>
        <v>-15000</v>
      </c>
      <c r="G14" s="4">
        <v>-10000</v>
      </c>
      <c r="H14" s="3" t="s">
        <v>4</v>
      </c>
      <c r="K14" s="23"/>
      <c r="Q14" s="24" t="s">
        <v>38</v>
      </c>
    </row>
    <row r="15" spans="1:17" ht="17" thickBot="1" x14ac:dyDescent="0.25">
      <c r="E15" s="6">
        <f>FV(E11/100,E12,E14,E13)</f>
        <v>430509.59507527936</v>
      </c>
      <c r="F15" s="4">
        <f>FV(F11/100,F12,F14,F13)</f>
        <v>369092.58837043837</v>
      </c>
      <c r="G15" s="4">
        <f>FV(G11/100,G12,G14,G13)</f>
        <v>137266.42938824123</v>
      </c>
      <c r="H15" s="3" t="s">
        <v>5</v>
      </c>
      <c r="K15" s="25"/>
      <c r="L15" s="26"/>
      <c r="M15" s="26"/>
      <c r="N15" s="26"/>
      <c r="O15" s="26"/>
      <c r="P15" s="26"/>
      <c r="Q15" s="27" t="s">
        <v>39</v>
      </c>
    </row>
    <row r="16" spans="1:17" x14ac:dyDescent="0.2">
      <c r="F16" s="4"/>
      <c r="G16" s="4"/>
      <c r="H16" s="3"/>
      <c r="K16" s="1">
        <f>K12+1</f>
        <v>9</v>
      </c>
      <c r="L16" s="5">
        <f>D174*1000</f>
        <v>111425.10757461912</v>
      </c>
      <c r="M16" s="1" t="s">
        <v>49</v>
      </c>
    </row>
    <row r="17" spans="1:11" x14ac:dyDescent="0.2">
      <c r="A17" s="7">
        <v>2</v>
      </c>
    </row>
    <row r="18" spans="1:11" x14ac:dyDescent="0.2">
      <c r="K18" s="1" t="s">
        <v>50</v>
      </c>
    </row>
    <row r="19" spans="1:11" x14ac:dyDescent="0.2">
      <c r="K19" s="1" t="s">
        <v>51</v>
      </c>
    </row>
    <row r="20" spans="1:11" x14ac:dyDescent="0.2">
      <c r="K20" s="1" t="s">
        <v>52</v>
      </c>
    </row>
    <row r="21" spans="1:11" x14ac:dyDescent="0.2">
      <c r="K21" s="1" t="s">
        <v>53</v>
      </c>
    </row>
    <row r="22" spans="1:11" x14ac:dyDescent="0.2">
      <c r="K22" s="1" t="s">
        <v>54</v>
      </c>
    </row>
    <row r="25" spans="1:11" x14ac:dyDescent="0.2">
      <c r="E25" s="3" t="s">
        <v>16</v>
      </c>
      <c r="F25" s="3" t="s">
        <v>15</v>
      </c>
      <c r="G25" s="3" t="s">
        <v>14</v>
      </c>
      <c r="H25" s="3" t="s">
        <v>0</v>
      </c>
    </row>
    <row r="26" spans="1:11" x14ac:dyDescent="0.2">
      <c r="E26" s="3" t="s">
        <v>7</v>
      </c>
      <c r="F26" s="3" t="s">
        <v>7</v>
      </c>
      <c r="G26" s="3" t="s">
        <v>7</v>
      </c>
      <c r="H26" s="3" t="s">
        <v>1</v>
      </c>
    </row>
    <row r="27" spans="1:11" x14ac:dyDescent="0.2">
      <c r="E27" s="3">
        <f>(1.07^0.5-1)*100</f>
        <v>3.4408043278860045</v>
      </c>
      <c r="F27" s="3">
        <v>6</v>
      </c>
      <c r="G27" s="3">
        <f>(1.06^0.5-1)*100</f>
        <v>2.9563014098699991</v>
      </c>
      <c r="H27" s="3" t="s">
        <v>8</v>
      </c>
    </row>
    <row r="28" spans="1:11" x14ac:dyDescent="0.2">
      <c r="E28" s="3">
        <f>2*2</f>
        <v>4</v>
      </c>
      <c r="F28" s="3">
        <v>2</v>
      </c>
      <c r="G28" s="3">
        <f>2*4</f>
        <v>8</v>
      </c>
      <c r="H28" s="3" t="s">
        <v>2</v>
      </c>
    </row>
    <row r="29" spans="1:11" x14ac:dyDescent="0.2">
      <c r="E29" s="6">
        <f>PV(E27/100,E28,E30,E31)</f>
        <v>-53919.705712086477</v>
      </c>
      <c r="F29" s="4">
        <f>PV(F27/100,F28,F30,F31)</f>
        <v>-44887.772471418837</v>
      </c>
      <c r="G29" s="4">
        <f>PV(G27/100,G28,G30,G31)</f>
        <v>-42195.901148886209</v>
      </c>
      <c r="H29" s="3" t="s">
        <v>3</v>
      </c>
    </row>
    <row r="30" spans="1:11" x14ac:dyDescent="0.2">
      <c r="E30" s="4">
        <v>4000</v>
      </c>
      <c r="F30" s="4">
        <v>4000</v>
      </c>
      <c r="G30" s="4">
        <v>6000</v>
      </c>
      <c r="H30" s="3" t="s">
        <v>4</v>
      </c>
    </row>
    <row r="31" spans="1:11" x14ac:dyDescent="0.2">
      <c r="E31" s="4">
        <f>-F29</f>
        <v>44887.772471418837</v>
      </c>
      <c r="F31" s="4">
        <f>-G29</f>
        <v>42195.901148886209</v>
      </c>
      <c r="G31" s="4">
        <v>0</v>
      </c>
      <c r="H31" s="3" t="s">
        <v>5</v>
      </c>
    </row>
    <row r="33" spans="1:7" x14ac:dyDescent="0.2">
      <c r="A33" s="7">
        <v>3</v>
      </c>
    </row>
    <row r="43" spans="1:7" x14ac:dyDescent="0.2">
      <c r="F43" s="1" t="s">
        <v>17</v>
      </c>
      <c r="G43" s="10">
        <f>1.15^(1/12)-1</f>
        <v>1.171491691985338E-2</v>
      </c>
    </row>
    <row r="44" spans="1:7" x14ac:dyDescent="0.2">
      <c r="F44" s="1" t="s">
        <v>19</v>
      </c>
      <c r="G44" s="4">
        <f>-PMT(G43,5*12,500000)</f>
        <v>11649.139709956491</v>
      </c>
    </row>
    <row r="45" spans="1:7" x14ac:dyDescent="0.2">
      <c r="F45" s="1" t="s">
        <v>18</v>
      </c>
      <c r="G45" s="4">
        <f>-PMT(12%/12,5*12,500000)</f>
        <v>11122.223842450885</v>
      </c>
    </row>
    <row r="46" spans="1:7" x14ac:dyDescent="0.2">
      <c r="G46" s="3"/>
    </row>
    <row r="48" spans="1:7" x14ac:dyDescent="0.2">
      <c r="A48" s="7">
        <v>4</v>
      </c>
    </row>
    <row r="49" spans="1:7" x14ac:dyDescent="0.2">
      <c r="A49" s="1">
        <v>4</v>
      </c>
    </row>
    <row r="57" spans="1:7" x14ac:dyDescent="0.2">
      <c r="F57" s="1" t="s">
        <v>17</v>
      </c>
      <c r="G57" s="1" t="s">
        <v>25</v>
      </c>
    </row>
    <row r="58" spans="1:7" x14ac:dyDescent="0.2">
      <c r="F58" s="1" t="s">
        <v>19</v>
      </c>
      <c r="G58" s="12">
        <f>(1+RATE(20,-500,9000,0))^12-1</f>
        <v>0.13019218547337541</v>
      </c>
    </row>
    <row r="59" spans="1:7" x14ac:dyDescent="0.2">
      <c r="A59" s="7">
        <v>5</v>
      </c>
    </row>
    <row r="67" spans="1:7" x14ac:dyDescent="0.2">
      <c r="D67" s="1">
        <v>1</v>
      </c>
      <c r="E67" s="1">
        <v>2</v>
      </c>
      <c r="F67" s="1">
        <v>3</v>
      </c>
      <c r="G67" s="1">
        <v>4</v>
      </c>
    </row>
    <row r="68" spans="1:7" x14ac:dyDescent="0.2">
      <c r="C68" s="1" t="s">
        <v>17</v>
      </c>
      <c r="D68" s="13">
        <v>3500</v>
      </c>
      <c r="E68" s="13">
        <f>PV(7%,3,0,-4500)</f>
        <v>3673.3404460088336</v>
      </c>
      <c r="F68" s="13">
        <f>700+PV(1.07^(1/12)-1,4,-800)</f>
        <v>3855.2733308004508</v>
      </c>
      <c r="G68" s="13">
        <f>NPV(1.07^(1/12)-1,0,0,0,0,0,800,800,800,800,800)</f>
        <v>3823.7070530339724</v>
      </c>
    </row>
    <row r="69" spans="1:7" x14ac:dyDescent="0.2">
      <c r="C69" s="1" t="s">
        <v>19</v>
      </c>
      <c r="D69" s="1" t="s">
        <v>26</v>
      </c>
    </row>
    <row r="71" spans="1:7" x14ac:dyDescent="0.2">
      <c r="A71" s="7">
        <v>6</v>
      </c>
    </row>
    <row r="84" spans="1:7" x14ac:dyDescent="0.2">
      <c r="E84" s="1" t="s">
        <v>28</v>
      </c>
      <c r="F84" s="1" t="s">
        <v>27</v>
      </c>
      <c r="G84" s="1" t="s">
        <v>0</v>
      </c>
    </row>
    <row r="85" spans="1:7" x14ac:dyDescent="0.2">
      <c r="E85" s="1" t="s">
        <v>7</v>
      </c>
      <c r="F85" s="1" t="s">
        <v>7</v>
      </c>
      <c r="G85" s="1" t="s">
        <v>1</v>
      </c>
    </row>
    <row r="86" spans="1:7" x14ac:dyDescent="0.2">
      <c r="E86" s="1">
        <f>(67-42)*12</f>
        <v>300</v>
      </c>
      <c r="F86" s="1">
        <f>(120-67)*12</f>
        <v>636</v>
      </c>
      <c r="G86" s="1" t="s">
        <v>2</v>
      </c>
    </row>
    <row r="87" spans="1:7" x14ac:dyDescent="0.2">
      <c r="E87" s="1">
        <f>(1.1^(1/12)-1)*100</f>
        <v>0.79741404289037643</v>
      </c>
      <c r="F87" s="1">
        <f>(1.1^(1/12)-1)*100</f>
        <v>0.79741404289037643</v>
      </c>
      <c r="G87" s="1" t="s">
        <v>8</v>
      </c>
    </row>
    <row r="88" spans="1:7" x14ac:dyDescent="0.2">
      <c r="E88" s="1">
        <v>0</v>
      </c>
      <c r="F88" s="14">
        <f>PV(F87/100,F86,F89,F90)</f>
        <v>-1246187.5781020939</v>
      </c>
      <c r="G88" s="1" t="s">
        <v>3</v>
      </c>
    </row>
    <row r="89" spans="1:7" x14ac:dyDescent="0.2">
      <c r="E89" s="15">
        <f>PMT(E87/100,E86,E88,E90)</f>
        <v>-1010.4292701524124</v>
      </c>
      <c r="F89" s="1">
        <v>10000</v>
      </c>
      <c r="G89" s="1" t="s">
        <v>4</v>
      </c>
    </row>
    <row r="90" spans="1:7" x14ac:dyDescent="0.2">
      <c r="E90" s="1">
        <f>-F88</f>
        <v>1246187.5781020939</v>
      </c>
      <c r="F90" s="1">
        <v>25000</v>
      </c>
      <c r="G90" s="1" t="s">
        <v>5</v>
      </c>
    </row>
    <row r="92" spans="1:7" x14ac:dyDescent="0.2">
      <c r="A92" s="7">
        <v>7</v>
      </c>
    </row>
    <row r="105" spans="1:7" x14ac:dyDescent="0.2">
      <c r="E105" s="1" t="s">
        <v>17</v>
      </c>
      <c r="F105" s="8">
        <f>(1+10%/4)^4-1</f>
        <v>0.10381289062499977</v>
      </c>
    </row>
    <row r="106" spans="1:7" x14ac:dyDescent="0.2">
      <c r="E106" s="1" t="s">
        <v>19</v>
      </c>
      <c r="F106" s="8">
        <f>(1+9%/12)^12-1</f>
        <v>9.3806897670984268E-2</v>
      </c>
    </row>
    <row r="107" spans="1:7" x14ac:dyDescent="0.2">
      <c r="E107" s="1" t="s">
        <v>18</v>
      </c>
      <c r="F107" s="8">
        <f>(1+5%/3)^6-1</f>
        <v>0.1042604244041494</v>
      </c>
    </row>
    <row r="108" spans="1:7" x14ac:dyDescent="0.2">
      <c r="E108" s="1" t="s">
        <v>29</v>
      </c>
      <c r="F108" s="8">
        <f>(1+20%/60)^12-1</f>
        <v>4.0741542919790819E-2</v>
      </c>
    </row>
    <row r="109" spans="1:7" x14ac:dyDescent="0.2">
      <c r="E109" s="1" t="s">
        <v>30</v>
      </c>
      <c r="F109" s="8">
        <f>(1/(1-25%))^(1/10)-1</f>
        <v>2.9186008964760646E-2</v>
      </c>
      <c r="G109" s="1" t="s">
        <v>31</v>
      </c>
    </row>
    <row r="111" spans="1:7" x14ac:dyDescent="0.2">
      <c r="A111" s="7">
        <v>8</v>
      </c>
    </row>
    <row r="127" spans="1:4" x14ac:dyDescent="0.2">
      <c r="B127" s="1" t="s">
        <v>17</v>
      </c>
      <c r="C127" s="1" t="s">
        <v>19</v>
      </c>
      <c r="D127" s="1" t="s">
        <v>18</v>
      </c>
    </row>
    <row r="128" spans="1:4" x14ac:dyDescent="0.2">
      <c r="A128" s="1">
        <v>0</v>
      </c>
      <c r="B128" s="1">
        <v>-15000</v>
      </c>
      <c r="C128" s="1">
        <f>-30000</f>
        <v>-30000</v>
      </c>
      <c r="D128" s="1">
        <v>-45000</v>
      </c>
    </row>
    <row r="129" spans="1:6" x14ac:dyDescent="0.2">
      <c r="A129" s="1">
        <v>1</v>
      </c>
      <c r="B129" s="1">
        <v>8000</v>
      </c>
      <c r="C129" s="1">
        <v>15000</v>
      </c>
      <c r="D129" s="1">
        <v>22000</v>
      </c>
    </row>
    <row r="130" spans="1:6" x14ac:dyDescent="0.2">
      <c r="A130" s="1">
        <v>2</v>
      </c>
      <c r="B130" s="1">
        <v>8000</v>
      </c>
      <c r="C130" s="1">
        <v>15000</v>
      </c>
      <c r="D130" s="1">
        <v>22000</v>
      </c>
    </row>
    <row r="131" spans="1:6" x14ac:dyDescent="0.2">
      <c r="A131" s="1">
        <v>3</v>
      </c>
      <c r="B131" s="1">
        <v>8000</v>
      </c>
      <c r="C131" s="1">
        <v>15000</v>
      </c>
      <c r="D131" s="1">
        <v>22000</v>
      </c>
    </row>
    <row r="132" spans="1:6" x14ac:dyDescent="0.2">
      <c r="A132" s="1">
        <v>4</v>
      </c>
      <c r="B132" s="1">
        <v>8000</v>
      </c>
      <c r="C132" s="1">
        <v>15000</v>
      </c>
      <c r="D132" s="1">
        <v>22000</v>
      </c>
    </row>
    <row r="134" spans="1:6" x14ac:dyDescent="0.2">
      <c r="A134" s="1" t="s">
        <v>34</v>
      </c>
      <c r="B134" s="16">
        <f>IRR(B128:B132)</f>
        <v>0.39078689596453864</v>
      </c>
      <c r="C134" s="11">
        <f>IRR(C128:C132)</f>
        <v>0.34903445656115628</v>
      </c>
      <c r="D134" s="11">
        <f>IRR(D128:D132)</f>
        <v>0.33494880205412114</v>
      </c>
      <c r="E134" s="1" t="s">
        <v>36</v>
      </c>
      <c r="F134" s="1" t="s">
        <v>26</v>
      </c>
    </row>
    <row r="135" spans="1:6" x14ac:dyDescent="0.2">
      <c r="A135" s="1" t="s">
        <v>35</v>
      </c>
      <c r="B135" s="2">
        <f>NPV(10%,B129:B132)+B128</f>
        <v>10358.923570794341</v>
      </c>
      <c r="C135" s="2">
        <f t="shared" ref="C135:D135" si="1">NPV(10%,C129:C132)+C128</f>
        <v>17547.981695239389</v>
      </c>
      <c r="D135" s="17">
        <f t="shared" si="1"/>
        <v>24737.039819684447</v>
      </c>
      <c r="E135" s="1" t="s">
        <v>36</v>
      </c>
      <c r="F135" s="1" t="s">
        <v>37</v>
      </c>
    </row>
    <row r="136" spans="1:6" x14ac:dyDescent="0.2">
      <c r="F136" s="1" t="s">
        <v>38</v>
      </c>
    </row>
    <row r="137" spans="1:6" x14ac:dyDescent="0.2">
      <c r="F137" s="1" t="s">
        <v>39</v>
      </c>
    </row>
    <row r="140" spans="1:6" x14ac:dyDescent="0.2">
      <c r="A140" s="28">
        <v>9</v>
      </c>
    </row>
    <row r="155" spans="1:8" x14ac:dyDescent="0.2">
      <c r="A155" s="1" t="s">
        <v>48</v>
      </c>
    </row>
    <row r="157" spans="1:8" x14ac:dyDescent="0.2">
      <c r="C157" s="1">
        <v>0</v>
      </c>
      <c r="D157" s="1">
        <v>1</v>
      </c>
      <c r="E157" s="1">
        <v>2</v>
      </c>
      <c r="F157" s="1">
        <v>3</v>
      </c>
      <c r="G157" s="1">
        <v>4</v>
      </c>
      <c r="H157" s="1">
        <v>5</v>
      </c>
    </row>
    <row r="158" spans="1:8" x14ac:dyDescent="0.2">
      <c r="A158" s="1" t="s">
        <v>40</v>
      </c>
      <c r="C158" s="1">
        <v>-900</v>
      </c>
    </row>
    <row r="159" spans="1:8" x14ac:dyDescent="0.2">
      <c r="A159" s="1" t="s">
        <v>41</v>
      </c>
      <c r="D159" s="1">
        <f>900/9*25%</f>
        <v>25</v>
      </c>
      <c r="E159" s="1">
        <f>900/9*25%</f>
        <v>25</v>
      </c>
      <c r="F159" s="1">
        <f>900/9*25%</f>
        <v>25</v>
      </c>
      <c r="G159" s="1">
        <f>900/9*25%</f>
        <v>25</v>
      </c>
      <c r="H159" s="1">
        <f>900/9*25%</f>
        <v>25</v>
      </c>
    </row>
    <row r="160" spans="1:8" x14ac:dyDescent="0.2">
      <c r="A160" s="1" t="s">
        <v>42</v>
      </c>
      <c r="H160" s="1">
        <f>200-(200-(900-900/9*5))*20%</f>
        <v>240</v>
      </c>
    </row>
    <row r="161" spans="1:8" x14ac:dyDescent="0.2">
      <c r="A161" s="1" t="s">
        <v>43</v>
      </c>
      <c r="D161" s="1">
        <f>(440-90-80)*(1-25%)</f>
        <v>202.5</v>
      </c>
      <c r="E161" s="1">
        <f>(440-90-80)*(1-25%)</f>
        <v>202.5</v>
      </c>
      <c r="F161" s="1">
        <f>(440-90-80)*(1-25%)</f>
        <v>202.5</v>
      </c>
      <c r="G161" s="1">
        <f>(440-90-80)*(1-25%)</f>
        <v>202.5</v>
      </c>
      <c r="H161" s="1">
        <f>(440-90-80)*(1-25%)</f>
        <v>202.5</v>
      </c>
    </row>
    <row r="162" spans="1:8" x14ac:dyDescent="0.2">
      <c r="A162" s="1" t="s">
        <v>44</v>
      </c>
      <c r="C162" s="1">
        <f t="shared" ref="C162:H162" si="2">SUM(C158:C161)</f>
        <v>-900</v>
      </c>
      <c r="D162" s="1">
        <f t="shared" si="2"/>
        <v>227.5</v>
      </c>
      <c r="E162" s="1">
        <f t="shared" si="2"/>
        <v>227.5</v>
      </c>
      <c r="F162" s="1">
        <f t="shared" si="2"/>
        <v>227.5</v>
      </c>
      <c r="G162" s="1">
        <f t="shared" si="2"/>
        <v>227.5</v>
      </c>
      <c r="H162" s="1">
        <f t="shared" si="2"/>
        <v>467.5</v>
      </c>
    </row>
    <row r="164" spans="1:8" x14ac:dyDescent="0.2">
      <c r="D164" s="3">
        <v>10</v>
      </c>
      <c r="E164" s="1" t="s">
        <v>45</v>
      </c>
    </row>
    <row r="166" spans="1:8" x14ac:dyDescent="0.2">
      <c r="C166" s="3" t="s">
        <v>46</v>
      </c>
      <c r="D166" s="3"/>
    </row>
    <row r="167" spans="1:8" x14ac:dyDescent="0.2">
      <c r="C167" s="3">
        <v>-900</v>
      </c>
      <c r="D167" s="3">
        <v>1</v>
      </c>
    </row>
    <row r="168" spans="1:8" x14ac:dyDescent="0.2">
      <c r="C168" s="3">
        <f>D162</f>
        <v>227.5</v>
      </c>
      <c r="D168" s="3">
        <v>2</v>
      </c>
    </row>
    <row r="169" spans="1:8" x14ac:dyDescent="0.2">
      <c r="C169" s="3">
        <f>E162</f>
        <v>227.5</v>
      </c>
      <c r="D169" s="3">
        <v>3</v>
      </c>
    </row>
    <row r="170" spans="1:8" x14ac:dyDescent="0.2">
      <c r="C170" s="3">
        <f>F162</f>
        <v>227.5</v>
      </c>
      <c r="D170" s="3">
        <v>4</v>
      </c>
    </row>
    <row r="171" spans="1:8" x14ac:dyDescent="0.2">
      <c r="C171" s="3">
        <f>G162</f>
        <v>227.5</v>
      </c>
      <c r="D171" s="3">
        <v>5</v>
      </c>
    </row>
    <row r="172" spans="1:8" x14ac:dyDescent="0.2">
      <c r="C172" s="3">
        <f>H162</f>
        <v>467.5</v>
      </c>
      <c r="D172" s="3">
        <v>6</v>
      </c>
    </row>
    <row r="174" spans="1:8" x14ac:dyDescent="0.2">
      <c r="D174" s="1">
        <f>NPV(D164/100,C168:C172)+C167</f>
        <v>111.42510757461912</v>
      </c>
      <c r="E174" s="1" t="s">
        <v>47</v>
      </c>
    </row>
  </sheetData>
  <pageMargins left="0.7" right="0.7" top="0.75" bottom="0.75" header="0.3" footer="0.3"/>
  <ignoredErrors>
    <ignoredError sqref="C162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 Tsaban</dc:creator>
  <cp:lastModifiedBy>Shay Tsaban</cp:lastModifiedBy>
  <dcterms:created xsi:type="dcterms:W3CDTF">2025-10-27T12:13:25Z</dcterms:created>
  <dcterms:modified xsi:type="dcterms:W3CDTF">2025-11-08T15:13:46Z</dcterms:modified>
</cp:coreProperties>
</file>