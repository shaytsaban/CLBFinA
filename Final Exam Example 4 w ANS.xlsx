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Principles of Finance/2025C/"/>
    </mc:Choice>
  </mc:AlternateContent>
  <xr:revisionPtr revIDLastSave="131" documentId="13_ncr:1_{807C4069-8FB3-5748-AC38-B9806644A79A}" xr6:coauthVersionLast="47" xr6:coauthVersionMax="47" xr10:uidLastSave="{4A66AD89-6AAD-D949-968B-BF78B00F1B0C}"/>
  <bookViews>
    <workbookView xWindow="2540" yWindow="2240" windowWidth="23980" windowHeight="28960" xr2:uid="{94831520-8D39-B749-BC4A-F641F25A5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1" l="1"/>
  <c r="B99" i="1" s="1"/>
  <c r="C99" i="1" s="1"/>
  <c r="B92" i="1"/>
  <c r="B88" i="1"/>
  <c r="B87" i="1"/>
  <c r="B86" i="1"/>
  <c r="B85" i="1"/>
  <c r="C78" i="1"/>
  <c r="D78" i="1"/>
  <c r="D77" i="1"/>
  <c r="E78" i="1"/>
  <c r="F78" i="1"/>
  <c r="G78" i="1"/>
  <c r="G77" i="1"/>
  <c r="H70" i="1"/>
  <c r="H71" i="1" s="1"/>
  <c r="G64" i="1"/>
  <c r="F66" i="1" s="1"/>
  <c r="F64" i="1" s="1"/>
  <c r="D63" i="1"/>
  <c r="D62" i="1"/>
  <c r="C63" i="1"/>
  <c r="C62" i="1"/>
  <c r="E53" i="1"/>
  <c r="E52" i="1"/>
  <c r="F53" i="1"/>
  <c r="F52" i="1"/>
  <c r="G52" i="1"/>
  <c r="G53" i="1"/>
  <c r="G54" i="1"/>
  <c r="F56" i="1" s="1"/>
  <c r="F54" i="1" s="1"/>
  <c r="E56" i="1" s="1"/>
  <c r="G43" i="1"/>
  <c r="F43" i="1"/>
  <c r="G42" i="1"/>
  <c r="F42" i="1"/>
  <c r="G33" i="1"/>
  <c r="F33" i="1"/>
  <c r="D33" i="1"/>
  <c r="G32" i="1"/>
  <c r="F32" i="1"/>
  <c r="D32" i="1"/>
  <c r="G44" i="1" l="1"/>
  <c r="F46" i="1" s="1"/>
  <c r="B94" i="1"/>
  <c r="C94" i="1" s="1"/>
  <c r="B93" i="1"/>
  <c r="E66" i="1"/>
  <c r="E64" i="1"/>
  <c r="D66" i="1" s="1"/>
  <c r="D64" i="1"/>
  <c r="C66" i="1" s="1"/>
  <c r="G81" i="1"/>
  <c r="F79" i="1" s="1"/>
  <c r="F81" i="1" s="1"/>
  <c r="E79" i="1" s="1"/>
  <c r="E81" i="1" s="1"/>
  <c r="D79" i="1" s="1"/>
  <c r="D81" i="1" s="1"/>
  <c r="C79" i="1" s="1"/>
  <c r="C80" i="1" s="1"/>
  <c r="E54" i="1"/>
  <c r="G36" i="1"/>
  <c r="F34" i="1" s="1"/>
  <c r="F44" i="1"/>
  <c r="B40" i="1" s="1"/>
  <c r="B6" i="1" s="1"/>
  <c r="F36" i="1"/>
  <c r="E34" i="1" s="1"/>
  <c r="E36" i="1" s="1"/>
  <c r="D34" i="1" s="1"/>
  <c r="D36" i="1" s="1"/>
  <c r="C34" i="1" s="1"/>
  <c r="C36" i="1" s="1"/>
  <c r="A31" i="1" s="1"/>
  <c r="B5" i="1" s="1"/>
  <c r="C64" i="1" l="1"/>
  <c r="A10" i="1"/>
  <c r="A11" i="1" s="1"/>
  <c r="A12" i="1" s="1"/>
  <c r="A13" i="1" s="1"/>
  <c r="A14" i="1" s="1"/>
  <c r="G25" i="1"/>
  <c r="F23" i="1" s="1"/>
  <c r="F22" i="1"/>
  <c r="E22" i="1"/>
  <c r="F25" i="1" l="1"/>
  <c r="E23" i="1" s="1"/>
  <c r="E25" i="1" s="1"/>
  <c r="C20" i="1" l="1"/>
  <c r="B4" i="1"/>
</calcChain>
</file>

<file path=xl/sharedStrings.xml><?xml version="1.0" encoding="utf-8"?>
<sst xmlns="http://schemas.openxmlformats.org/spreadsheetml/2006/main" count="106" uniqueCount="47">
  <si>
    <t>שנים 6-15</t>
  </si>
  <si>
    <t>שנים 4-5</t>
  </si>
  <si>
    <t>שנים 1-3</t>
  </si>
  <si>
    <t>End</t>
  </si>
  <si>
    <t>Set</t>
  </si>
  <si>
    <t>n</t>
  </si>
  <si>
    <t>I%</t>
  </si>
  <si>
    <t>PV</t>
  </si>
  <si>
    <t>PMT</t>
  </si>
  <si>
    <t>FV</t>
  </si>
  <si>
    <t>פתרון שאלה 1</t>
  </si>
  <si>
    <t>שאלה</t>
  </si>
  <si>
    <t>תשובה סופית</t>
  </si>
  <si>
    <t>תשובה סופית:</t>
  </si>
  <si>
    <t>תשובה:</t>
  </si>
  <si>
    <t>Year 19</t>
  </si>
  <si>
    <t>Years 16-18</t>
  </si>
  <si>
    <t>Years 9-15</t>
  </si>
  <si>
    <t>Years 5-8</t>
  </si>
  <si>
    <t>Years 1-4</t>
  </si>
  <si>
    <t>CMPD</t>
  </si>
  <si>
    <t>פתרון שאלה 2</t>
  </si>
  <si>
    <t>התשובה:</t>
  </si>
  <si>
    <t>Years 5-14</t>
  </si>
  <si>
    <t>פתרון שאלה 3</t>
  </si>
  <si>
    <t>פתרון שאלה 4</t>
  </si>
  <si>
    <t>Years 1-2</t>
  </si>
  <si>
    <t>Year 3</t>
  </si>
  <si>
    <t>Years 4-8</t>
  </si>
  <si>
    <t>פתרון שאלה 5</t>
  </si>
  <si>
    <t>Years 5-9</t>
  </si>
  <si>
    <t>Years 10-16</t>
  </si>
  <si>
    <t>Years 17-18</t>
  </si>
  <si>
    <t>Years 19-24</t>
  </si>
  <si>
    <t>פתרון שאלה 6</t>
  </si>
  <si>
    <t>פתרון שאלה 7</t>
  </si>
  <si>
    <t>Years 5-7</t>
  </si>
  <si>
    <t>Years 7-9</t>
  </si>
  <si>
    <t>Years 10-14</t>
  </si>
  <si>
    <t>Years 15-24</t>
  </si>
  <si>
    <t>פתרון שאלה 8</t>
  </si>
  <si>
    <t>המועדפת</t>
  </si>
  <si>
    <t>פתרון שאלה 9</t>
  </si>
  <si>
    <t>פתרון שאלה 10</t>
  </si>
  <si>
    <t>מבחן לדוגמה 4 פתרון בלבד - לקראת בחינות 2025ג</t>
  </si>
  <si>
    <t>התשובות</t>
  </si>
  <si>
    <t>השאלות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</si>
</sst>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#,##0.00_);[Red]\(&quot;₪&quot;#,##0.00\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1" fillId="0" borderId="0" xfId="0" applyNumberFormat="1" applyFont="1"/>
    <xf numFmtId="3" fontId="1" fillId="2" borderId="0" xfId="0" applyNumberFormat="1" applyFont="1" applyFill="1"/>
    <xf numFmtId="3" fontId="1" fillId="0" borderId="0" xfId="0" applyNumberFormat="1" applyFont="1" applyAlignment="1">
      <alignment horizontal="center"/>
    </xf>
    <xf numFmtId="0" fontId="2" fillId="2" borderId="0" xfId="0" applyFont="1" applyFill="1"/>
    <xf numFmtId="3" fontId="1" fillId="0" borderId="0" xfId="0" applyNumberFormat="1" applyFont="1"/>
    <xf numFmtId="3" fontId="1" fillId="2" borderId="0" xfId="0" applyNumberFormat="1" applyFont="1" applyFill="1" applyAlignment="1">
      <alignment horizontal="center"/>
    </xf>
    <xf numFmtId="9" fontId="1" fillId="0" borderId="0" xfId="0" applyNumberFormat="1" applyFont="1"/>
    <xf numFmtId="8" fontId="1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18</xdr:col>
      <xdr:colOff>342900</xdr:colOff>
      <xdr:row>28</xdr:row>
      <xdr:rowOff>1959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97024-7ADD-6DF7-0ADA-782554AA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9790100" y="3048000"/>
          <a:ext cx="7772400" cy="223715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18</xdr:col>
      <xdr:colOff>342900</xdr:colOff>
      <xdr:row>42</xdr:row>
      <xdr:rowOff>22234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B9D9FF-5545-AF14-AC85-56117A6CB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9790100" y="5486400"/>
          <a:ext cx="7772400" cy="266383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18</xdr:col>
      <xdr:colOff>342900</xdr:colOff>
      <xdr:row>52</xdr:row>
      <xdr:rowOff>83005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61F803-52E7-7111-0255-7ADDAA52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09790100" y="8331200"/>
          <a:ext cx="7772400" cy="19118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18</xdr:col>
      <xdr:colOff>342900</xdr:colOff>
      <xdr:row>66</xdr:row>
      <xdr:rowOff>27405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AD0B5B-9435-291F-4A1D-31769593E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09790100" y="10566400"/>
          <a:ext cx="7772400" cy="24658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18</xdr:col>
      <xdr:colOff>342900</xdr:colOff>
      <xdr:row>83</xdr:row>
      <xdr:rowOff>74193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FA7419-543F-C86B-CDF7-C3AF2326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09790100" y="13614400"/>
          <a:ext cx="7772400" cy="29189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18</xdr:col>
      <xdr:colOff>342900</xdr:colOff>
      <xdr:row>92</xdr:row>
      <xdr:rowOff>181142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C92179-9ABB-C27E-2B72-828E72903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09790100" y="16662400"/>
          <a:ext cx="7772400" cy="18067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18</xdr:col>
      <xdr:colOff>342900</xdr:colOff>
      <xdr:row>107</xdr:row>
      <xdr:rowOff>35811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9025D5-999C-2951-6233-95DC16BD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09790100" y="18694400"/>
          <a:ext cx="7772400" cy="267741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109</xdr:row>
      <xdr:rowOff>0</xdr:rowOff>
    </xdr:from>
    <xdr:to>
      <xdr:col>18</xdr:col>
      <xdr:colOff>342900</xdr:colOff>
      <xdr:row>123</xdr:row>
      <xdr:rowOff>6211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AFFAEE-B7F4-A395-CD67-0205EC9B4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09790100" y="21742400"/>
          <a:ext cx="7772400" cy="285101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124</xdr:row>
      <xdr:rowOff>0</xdr:rowOff>
    </xdr:from>
    <xdr:to>
      <xdr:col>18</xdr:col>
      <xdr:colOff>342900</xdr:colOff>
      <xdr:row>140</xdr:row>
      <xdr:rowOff>195690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5C1B7B-BAAC-F1DD-CA06-E68DC82A2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09790100" y="24790400"/>
          <a:ext cx="7772400" cy="34468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142</xdr:row>
      <xdr:rowOff>0</xdr:rowOff>
    </xdr:from>
    <xdr:to>
      <xdr:col>18</xdr:col>
      <xdr:colOff>342900</xdr:colOff>
      <xdr:row>152</xdr:row>
      <xdr:rowOff>49071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36923E2-CE89-0F11-6CD6-E9479E2E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09790100" y="28448000"/>
          <a:ext cx="7772400" cy="20810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154</xdr:row>
      <xdr:rowOff>0</xdr:rowOff>
    </xdr:from>
    <xdr:to>
      <xdr:col>18</xdr:col>
      <xdr:colOff>342900</xdr:colOff>
      <xdr:row>169</xdr:row>
      <xdr:rowOff>54191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9394F4-3A1D-5644-D675-AF700ABBE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09790100" y="30886400"/>
          <a:ext cx="7772400" cy="3102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B6E6-8B59-434F-9130-622EF85FD8CE}">
  <dimension ref="A1:S99"/>
  <sheetViews>
    <sheetView rightToLeft="1" tabSelected="1" topLeftCell="C1" workbookViewId="0">
      <selection activeCell="I12" sqref="I12"/>
    </sheetView>
  </sheetViews>
  <sheetFormatPr baseColWidth="10" defaultRowHeight="16" x14ac:dyDescent="0.2"/>
  <cols>
    <col min="1" max="16384" width="10.83203125" style="1"/>
  </cols>
  <sheetData>
    <row r="1" spans="1:19" x14ac:dyDescent="0.2">
      <c r="A1" s="2" t="s">
        <v>44</v>
      </c>
      <c r="B1" s="2"/>
      <c r="C1" s="2"/>
      <c r="D1" s="2"/>
      <c r="E1" s="2"/>
      <c r="F1" s="2"/>
      <c r="G1" s="2"/>
      <c r="H1" s="2"/>
    </row>
    <row r="3" spans="1:19" x14ac:dyDescent="0.2">
      <c r="A3" s="1" t="s">
        <v>11</v>
      </c>
      <c r="B3" s="1" t="s">
        <v>12</v>
      </c>
    </row>
    <row r="4" spans="1:19" x14ac:dyDescent="0.2">
      <c r="A4" s="1">
        <v>1</v>
      </c>
      <c r="B4" s="7">
        <f>E25</f>
        <v>361345.14027499058</v>
      </c>
    </row>
    <row r="5" spans="1:19" x14ac:dyDescent="0.2">
      <c r="A5" s="1">
        <v>2</v>
      </c>
      <c r="B5" s="11">
        <f>A31</f>
        <v>1218690.209680269</v>
      </c>
    </row>
    <row r="6" spans="1:19" x14ac:dyDescent="0.2">
      <c r="A6" s="1">
        <v>3</v>
      </c>
      <c r="B6" s="11">
        <f>B40</f>
        <v>80614.125973035785</v>
      </c>
    </row>
    <row r="7" spans="1:19" x14ac:dyDescent="0.2">
      <c r="A7" s="1">
        <v>4</v>
      </c>
    </row>
    <row r="8" spans="1:19" x14ac:dyDescent="0.2">
      <c r="A8" s="1">
        <v>5</v>
      </c>
    </row>
    <row r="9" spans="1:19" x14ac:dyDescent="0.2">
      <c r="A9" s="1">
        <v>6</v>
      </c>
    </row>
    <row r="10" spans="1:19" x14ac:dyDescent="0.2">
      <c r="A10" s="1">
        <f>A9+1</f>
        <v>7</v>
      </c>
    </row>
    <row r="11" spans="1:19" x14ac:dyDescent="0.2">
      <c r="A11" s="1">
        <f t="shared" ref="A11:A14" si="0">A10+1</f>
        <v>8</v>
      </c>
    </row>
    <row r="12" spans="1:19" x14ac:dyDescent="0.2">
      <c r="A12" s="1">
        <f t="shared" si="0"/>
        <v>9</v>
      </c>
    </row>
    <row r="13" spans="1:19" x14ac:dyDescent="0.2">
      <c r="A13" s="1">
        <f t="shared" si="0"/>
        <v>10</v>
      </c>
    </row>
    <row r="14" spans="1:19" x14ac:dyDescent="0.2">
      <c r="A14" s="1">
        <f t="shared" si="0"/>
        <v>11</v>
      </c>
    </row>
    <row r="15" spans="1:19" ht="17" thickBot="1" x14ac:dyDescent="0.25"/>
    <row r="16" spans="1:19" ht="17" thickBot="1" x14ac:dyDescent="0.25">
      <c r="A16" s="15" t="s">
        <v>45</v>
      </c>
      <c r="B16" s="16"/>
      <c r="C16" s="16"/>
      <c r="D16" s="16"/>
      <c r="E16" s="16"/>
      <c r="F16" s="16"/>
      <c r="G16" s="16"/>
      <c r="H16" s="17"/>
      <c r="J16" s="15" t="s">
        <v>46</v>
      </c>
      <c r="K16" s="16"/>
      <c r="L16" s="16"/>
      <c r="M16" s="16"/>
      <c r="N16" s="16"/>
      <c r="O16" s="16"/>
      <c r="P16" s="16"/>
      <c r="Q16" s="16"/>
      <c r="R16" s="16"/>
      <c r="S16" s="17"/>
    </row>
    <row r="18" spans="1:8" x14ac:dyDescent="0.2">
      <c r="A18" s="2" t="s">
        <v>10</v>
      </c>
      <c r="B18" s="2"/>
      <c r="C18" s="2"/>
      <c r="D18" s="2"/>
      <c r="E18" s="2"/>
      <c r="F18" s="2"/>
      <c r="G18" s="2"/>
      <c r="H18" s="2"/>
    </row>
    <row r="19" spans="1:8" x14ac:dyDescent="0.2">
      <c r="E19" s="3" t="s">
        <v>0</v>
      </c>
      <c r="F19" s="3" t="s">
        <v>1</v>
      </c>
      <c r="G19" s="3" t="s">
        <v>2</v>
      </c>
    </row>
    <row r="20" spans="1:8" x14ac:dyDescent="0.2">
      <c r="A20" s="1" t="s">
        <v>13</v>
      </c>
      <c r="C20" s="7">
        <f>E25</f>
        <v>361345.14027499058</v>
      </c>
      <c r="E20" s="3" t="s">
        <v>3</v>
      </c>
      <c r="F20" s="3" t="s">
        <v>3</v>
      </c>
      <c r="G20" s="3" t="s">
        <v>3</v>
      </c>
      <c r="H20" s="1" t="s">
        <v>4</v>
      </c>
    </row>
    <row r="21" spans="1:8" x14ac:dyDescent="0.2">
      <c r="E21" s="3">
        <v>10</v>
      </c>
      <c r="F21" s="3">
        <v>2</v>
      </c>
      <c r="G21" s="3">
        <v>3</v>
      </c>
      <c r="H21" s="1" t="s">
        <v>5</v>
      </c>
    </row>
    <row r="22" spans="1:8" x14ac:dyDescent="0.2">
      <c r="E22" s="4">
        <f>1.01^12-1</f>
        <v>0.12682503013196977</v>
      </c>
      <c r="F22" s="4">
        <f>1.02^2-1</f>
        <v>4.0399999999999991E-2</v>
      </c>
      <c r="G22" s="4">
        <v>0.05</v>
      </c>
      <c r="H22" s="1" t="s">
        <v>6</v>
      </c>
    </row>
    <row r="23" spans="1:8" x14ac:dyDescent="0.2">
      <c r="E23" s="5">
        <f>-F25</f>
        <v>-54527.673844000026</v>
      </c>
      <c r="F23" s="5">
        <f>-G25</f>
        <v>-31525.000000000025</v>
      </c>
      <c r="G23" s="3">
        <v>0</v>
      </c>
      <c r="H23" s="1" t="s">
        <v>7</v>
      </c>
    </row>
    <row r="24" spans="1:8" x14ac:dyDescent="0.2">
      <c r="E24" s="5">
        <v>-10000</v>
      </c>
      <c r="F24" s="5">
        <v>-10000</v>
      </c>
      <c r="G24" s="5">
        <v>-10000</v>
      </c>
      <c r="H24" s="1" t="s">
        <v>8</v>
      </c>
    </row>
    <row r="25" spans="1:8" x14ac:dyDescent="0.2">
      <c r="E25" s="6">
        <f>FV(E22,E21,E24,E23)</f>
        <v>361345.14027499058</v>
      </c>
      <c r="F25" s="5">
        <f>FV(F22,F21,F24,F23)</f>
        <v>54527.673844000026</v>
      </c>
      <c r="G25" s="5">
        <f>FV(G22,G21,G24,G23)</f>
        <v>31525.000000000025</v>
      </c>
      <c r="H25" s="1" t="s">
        <v>9</v>
      </c>
    </row>
    <row r="28" spans="1:8" x14ac:dyDescent="0.2">
      <c r="A28" s="10" t="s">
        <v>21</v>
      </c>
      <c r="B28" s="2"/>
      <c r="C28" s="2"/>
      <c r="D28" s="2"/>
      <c r="E28" s="2"/>
      <c r="F28" s="2"/>
      <c r="G28" s="2"/>
      <c r="H28" s="2"/>
    </row>
    <row r="30" spans="1:8" x14ac:dyDescent="0.2">
      <c r="A30" s="1" t="s">
        <v>14</v>
      </c>
      <c r="C30" s="3" t="s">
        <v>15</v>
      </c>
      <c r="D30" s="3" t="s">
        <v>16</v>
      </c>
      <c r="E30" s="3" t="s">
        <v>17</v>
      </c>
      <c r="F30" s="3" t="s">
        <v>18</v>
      </c>
      <c r="G30" s="3" t="s">
        <v>19</v>
      </c>
      <c r="H30" s="1" t="s">
        <v>20</v>
      </c>
    </row>
    <row r="31" spans="1:8" x14ac:dyDescent="0.2">
      <c r="A31" s="8">
        <f>C36</f>
        <v>1218690.209680269</v>
      </c>
      <c r="C31" s="3" t="s">
        <v>3</v>
      </c>
      <c r="D31" s="3" t="s">
        <v>3</v>
      </c>
      <c r="E31" s="3" t="s">
        <v>3</v>
      </c>
      <c r="F31" s="3" t="s">
        <v>3</v>
      </c>
      <c r="G31" s="3" t="s">
        <v>3</v>
      </c>
      <c r="H31" s="1" t="s">
        <v>4</v>
      </c>
    </row>
    <row r="32" spans="1:8" x14ac:dyDescent="0.2">
      <c r="C32" s="3">
        <v>1</v>
      </c>
      <c r="D32" s="3">
        <f>3*12</f>
        <v>36</v>
      </c>
      <c r="E32" s="9">
        <v>7</v>
      </c>
      <c r="F32" s="9">
        <f>6*4</f>
        <v>24</v>
      </c>
      <c r="G32" s="9">
        <f>6*4</f>
        <v>24</v>
      </c>
      <c r="H32" s="1" t="s">
        <v>5</v>
      </c>
    </row>
    <row r="33" spans="1:8" x14ac:dyDescent="0.2">
      <c r="C33" s="4">
        <v>0.08</v>
      </c>
      <c r="D33" s="4">
        <f>(1+8%)^(1/12)-1</f>
        <v>6.4340301100034303E-3</v>
      </c>
      <c r="E33" s="4">
        <v>0.08</v>
      </c>
      <c r="F33" s="4">
        <f>(1+15%)^(1/6)-1</f>
        <v>2.3567073118145654E-2</v>
      </c>
      <c r="G33" s="4">
        <f>(1+10%)^(1/6)-1</f>
        <v>1.6011867773387367E-2</v>
      </c>
      <c r="H33" s="1" t="s">
        <v>6</v>
      </c>
    </row>
    <row r="34" spans="1:8" x14ac:dyDescent="0.2">
      <c r="C34" s="9">
        <f>-D36</f>
        <v>-1128416.8608150638</v>
      </c>
      <c r="D34" s="9">
        <f>-E36</f>
        <v>-799643.69125961326</v>
      </c>
      <c r="E34" s="9">
        <f>-F36</f>
        <v>-466584.41348194343</v>
      </c>
      <c r="F34" s="9">
        <f>-G36</f>
        <v>-248599.75097148673</v>
      </c>
      <c r="G34" s="9">
        <v>-150000</v>
      </c>
      <c r="H34" s="1" t="s">
        <v>7</v>
      </c>
    </row>
    <row r="35" spans="1:8" x14ac:dyDescent="0.2">
      <c r="C35" s="3">
        <v>0</v>
      </c>
      <c r="D35" s="3">
        <v>-3000</v>
      </c>
      <c r="E35" s="9">
        <v>0</v>
      </c>
      <c r="F35" s="9">
        <v>-1000</v>
      </c>
      <c r="G35" s="9">
        <v>-1000</v>
      </c>
      <c r="H35" s="1" t="s">
        <v>8</v>
      </c>
    </row>
    <row r="36" spans="1:8" x14ac:dyDescent="0.2">
      <c r="C36" s="9">
        <f t="shared" ref="C36:F36" si="1">FV(C33,C32,C35,C34)</f>
        <v>1218690.209680269</v>
      </c>
      <c r="D36" s="9">
        <f t="shared" si="1"/>
        <v>1128416.8608150638</v>
      </c>
      <c r="E36" s="9">
        <f t="shared" si="1"/>
        <v>799643.69125961326</v>
      </c>
      <c r="F36" s="9">
        <f t="shared" si="1"/>
        <v>466584.41348194343</v>
      </c>
      <c r="G36" s="9">
        <f>FV(G33,G32,G35,G34)</f>
        <v>248599.75097148673</v>
      </c>
      <c r="H36" s="1" t="s">
        <v>9</v>
      </c>
    </row>
    <row r="39" spans="1:8" x14ac:dyDescent="0.2">
      <c r="A39" s="10" t="s">
        <v>24</v>
      </c>
      <c r="B39" s="2"/>
      <c r="C39" s="2"/>
      <c r="D39" s="2"/>
      <c r="E39" s="2"/>
      <c r="F39" s="2"/>
      <c r="G39" s="2"/>
      <c r="H39" s="2"/>
    </row>
    <row r="40" spans="1:8" x14ac:dyDescent="0.2">
      <c r="A40" s="1" t="s">
        <v>22</v>
      </c>
      <c r="B40" s="11">
        <f>-F44</f>
        <v>80614.125973035785</v>
      </c>
      <c r="F40" s="3" t="s">
        <v>19</v>
      </c>
      <c r="G40" s="3" t="s">
        <v>23</v>
      </c>
      <c r="H40" s="1" t="s">
        <v>20</v>
      </c>
    </row>
    <row r="41" spans="1:8" x14ac:dyDescent="0.2">
      <c r="F41" s="3" t="s">
        <v>3</v>
      </c>
      <c r="G41" s="3" t="s">
        <v>3</v>
      </c>
      <c r="H41" s="1" t="s">
        <v>4</v>
      </c>
    </row>
    <row r="42" spans="1:8" x14ac:dyDescent="0.2">
      <c r="F42" s="9">
        <f>4*4</f>
        <v>16</v>
      </c>
      <c r="G42" s="9">
        <f>6*10</f>
        <v>60</v>
      </c>
      <c r="H42" s="1" t="s">
        <v>5</v>
      </c>
    </row>
    <row r="43" spans="1:8" x14ac:dyDescent="0.2">
      <c r="F43" s="4">
        <f>1.01^3-1</f>
        <v>3.0300999999999911E-2</v>
      </c>
      <c r="G43" s="4">
        <f>1.01^2-1</f>
        <v>2.0100000000000007E-2</v>
      </c>
      <c r="H43" s="1" t="s">
        <v>6</v>
      </c>
    </row>
    <row r="44" spans="1:8" x14ac:dyDescent="0.2">
      <c r="F44" s="12">
        <f>PV(F43,F42,F45,F46)</f>
        <v>-80614.125973035785</v>
      </c>
      <c r="G44" s="9">
        <f>PV(G43,G42,G45,G46)</f>
        <v>-69353.753265071922</v>
      </c>
      <c r="H44" s="1" t="s">
        <v>7</v>
      </c>
    </row>
    <row r="45" spans="1:8" x14ac:dyDescent="0.2">
      <c r="F45" s="9">
        <v>3000</v>
      </c>
      <c r="G45" s="9">
        <v>2000</v>
      </c>
      <c r="H45" s="1" t="s">
        <v>8</v>
      </c>
    </row>
    <row r="46" spans="1:8" x14ac:dyDescent="0.2">
      <c r="F46" s="9">
        <f>-G44</f>
        <v>69353.753265071922</v>
      </c>
      <c r="G46" s="9">
        <v>0</v>
      </c>
      <c r="H46" s="1" t="s">
        <v>9</v>
      </c>
    </row>
    <row r="48" spans="1:8" x14ac:dyDescent="0.2">
      <c r="A48" s="10" t="s">
        <v>25</v>
      </c>
      <c r="B48" s="2"/>
      <c r="C48" s="2"/>
      <c r="D48" s="2"/>
      <c r="E48" s="2"/>
      <c r="F48" s="2"/>
      <c r="G48" s="2"/>
      <c r="H48" s="2"/>
    </row>
    <row r="50" spans="1:8" x14ac:dyDescent="0.2">
      <c r="E50" s="3" t="s">
        <v>26</v>
      </c>
      <c r="F50" s="1" t="s">
        <v>27</v>
      </c>
      <c r="G50" s="3" t="s">
        <v>28</v>
      </c>
      <c r="H50" s="1" t="s">
        <v>20</v>
      </c>
    </row>
    <row r="51" spans="1:8" x14ac:dyDescent="0.2">
      <c r="E51" s="3" t="s">
        <v>3</v>
      </c>
      <c r="F51" s="3" t="s">
        <v>3</v>
      </c>
      <c r="G51" s="3" t="s">
        <v>3</v>
      </c>
      <c r="H51" s="1" t="s">
        <v>4</v>
      </c>
    </row>
    <row r="52" spans="1:8" x14ac:dyDescent="0.2">
      <c r="E52" s="9">
        <f>2*12</f>
        <v>24</v>
      </c>
      <c r="F52" s="9">
        <f>6</f>
        <v>6</v>
      </c>
      <c r="G52" s="9">
        <f>5*2</f>
        <v>10</v>
      </c>
      <c r="H52" s="1" t="s">
        <v>5</v>
      </c>
    </row>
    <row r="53" spans="1:8" x14ac:dyDescent="0.2">
      <c r="E53" s="4">
        <f>(1+7%)^(1/12)-1</f>
        <v>5.6541453874052738E-3</v>
      </c>
      <c r="F53" s="4">
        <f>(1+7%)^(1/6)-1</f>
        <v>1.1340260134872437E-2</v>
      </c>
      <c r="G53" s="4">
        <f>(1+7%)^0.5-1</f>
        <v>3.4408043278860045E-2</v>
      </c>
      <c r="H53" s="1" t="s">
        <v>6</v>
      </c>
    </row>
    <row r="54" spans="1:8" x14ac:dyDescent="0.2">
      <c r="E54" s="12">
        <f>PV(E53,E52,E55,E56)</f>
        <v>-102236.67765818523</v>
      </c>
      <c r="F54" s="9">
        <f>PV(F53,F52,F55,F56)</f>
        <v>-65796.342068439102</v>
      </c>
      <c r="G54" s="9">
        <f>PV(G53,G52,G55,G56)</f>
        <v>-33365.898570892583</v>
      </c>
      <c r="H54" s="1" t="s">
        <v>7</v>
      </c>
    </row>
    <row r="55" spans="1:8" x14ac:dyDescent="0.2">
      <c r="E55" s="9">
        <v>2000</v>
      </c>
      <c r="F55" s="9">
        <v>6000</v>
      </c>
      <c r="G55" s="9">
        <v>4000</v>
      </c>
      <c r="H55" s="1" t="s">
        <v>8</v>
      </c>
    </row>
    <row r="56" spans="1:8" x14ac:dyDescent="0.2">
      <c r="E56" s="9">
        <f>-F54</f>
        <v>65796.342068439102</v>
      </c>
      <c r="F56" s="9">
        <f>-G54</f>
        <v>33365.898570892583</v>
      </c>
      <c r="G56" s="9">
        <v>0</v>
      </c>
      <c r="H56" s="1" t="s">
        <v>9</v>
      </c>
    </row>
    <row r="58" spans="1:8" x14ac:dyDescent="0.2">
      <c r="A58" s="10" t="s">
        <v>29</v>
      </c>
      <c r="B58" s="2"/>
      <c r="C58" s="2"/>
      <c r="D58" s="2"/>
      <c r="E58" s="2"/>
      <c r="F58" s="2"/>
      <c r="G58" s="2"/>
      <c r="H58" s="2"/>
    </row>
    <row r="60" spans="1:8" x14ac:dyDescent="0.2">
      <c r="C60" s="3" t="s">
        <v>19</v>
      </c>
      <c r="D60" s="1" t="s">
        <v>30</v>
      </c>
      <c r="E60" s="3" t="s">
        <v>31</v>
      </c>
      <c r="F60" s="3" t="s">
        <v>32</v>
      </c>
      <c r="G60" s="1" t="s">
        <v>33</v>
      </c>
      <c r="H60" s="1" t="s">
        <v>20</v>
      </c>
    </row>
    <row r="61" spans="1:8" x14ac:dyDescent="0.2">
      <c r="C61" s="3" t="s">
        <v>3</v>
      </c>
      <c r="D61" s="3" t="s">
        <v>3</v>
      </c>
      <c r="E61" s="3" t="s">
        <v>3</v>
      </c>
      <c r="F61" s="3" t="s">
        <v>3</v>
      </c>
      <c r="G61" s="3" t="s">
        <v>3</v>
      </c>
      <c r="H61" s="1" t="s">
        <v>4</v>
      </c>
    </row>
    <row r="62" spans="1:8" x14ac:dyDescent="0.2">
      <c r="C62" s="9">
        <f>4*12</f>
        <v>48</v>
      </c>
      <c r="D62" s="9">
        <f>5*2</f>
        <v>10</v>
      </c>
      <c r="E62" s="9">
        <v>6</v>
      </c>
      <c r="F62" s="9">
        <v>2</v>
      </c>
      <c r="G62" s="9">
        <v>6</v>
      </c>
      <c r="H62" s="1" t="s">
        <v>5</v>
      </c>
    </row>
    <row r="63" spans="1:8" x14ac:dyDescent="0.2">
      <c r="C63" s="4">
        <f>(1+5%)^(1/12)-1</f>
        <v>4.0741237836483535E-3</v>
      </c>
      <c r="D63" s="4">
        <f>(1+5%)^(1/2)-1</f>
        <v>2.4695076595959931E-2</v>
      </c>
      <c r="E63" s="4">
        <v>0.08</v>
      </c>
      <c r="F63" s="4">
        <v>0.08</v>
      </c>
      <c r="G63" s="4">
        <v>0.08</v>
      </c>
      <c r="H63" s="1" t="s">
        <v>6</v>
      </c>
    </row>
    <row r="64" spans="1:8" x14ac:dyDescent="0.2">
      <c r="C64" s="12">
        <f>PV(C63,C62,C65,C66)</f>
        <v>-168125.96336966709</v>
      </c>
      <c r="D64" s="9">
        <f t="shared" ref="D64:F64" si="2">PV(D63,D62,D65,D66)</f>
        <v>-98565.472813589993</v>
      </c>
      <c r="E64" s="9">
        <f t="shared" si="2"/>
        <v>-25107.830168441898</v>
      </c>
      <c r="F64" s="9">
        <f t="shared" si="2"/>
        <v>-17835.183888739171</v>
      </c>
      <c r="G64" s="9">
        <f>PV(G63,G62,G65,G66)</f>
        <v>-20802.95848782537</v>
      </c>
      <c r="H64" s="1" t="s">
        <v>7</v>
      </c>
    </row>
    <row r="65" spans="1:8" x14ac:dyDescent="0.2">
      <c r="C65" s="9">
        <v>2000</v>
      </c>
      <c r="D65" s="9">
        <v>9000</v>
      </c>
      <c r="E65" s="9">
        <v>3000</v>
      </c>
      <c r="F65" s="9">
        <v>0</v>
      </c>
      <c r="G65" s="9">
        <v>4500</v>
      </c>
      <c r="H65" s="1" t="s">
        <v>8</v>
      </c>
    </row>
    <row r="66" spans="1:8" x14ac:dyDescent="0.2">
      <c r="C66" s="9">
        <f t="shared" ref="C66:E66" si="3">-D64</f>
        <v>98565.472813589993</v>
      </c>
      <c r="D66" s="9">
        <f t="shared" si="3"/>
        <v>25107.830168441898</v>
      </c>
      <c r="E66" s="9">
        <f t="shared" si="3"/>
        <v>17835.183888739171</v>
      </c>
      <c r="F66" s="9">
        <f>-G64</f>
        <v>20802.95848782537</v>
      </c>
      <c r="G66" s="9">
        <v>0</v>
      </c>
      <c r="H66" s="1" t="s">
        <v>9</v>
      </c>
    </row>
    <row r="68" spans="1:8" x14ac:dyDescent="0.2">
      <c r="A68" s="10" t="s">
        <v>34</v>
      </c>
      <c r="B68" s="2"/>
      <c r="C68" s="2"/>
      <c r="D68" s="2"/>
      <c r="E68" s="2"/>
      <c r="F68" s="2"/>
      <c r="G68" s="2"/>
      <c r="H68" s="2"/>
    </row>
    <row r="70" spans="1:8" x14ac:dyDescent="0.2">
      <c r="H70" s="13">
        <f>RATE(20,-1100,20000*0.95)</f>
        <v>1.4387637749198911E-2</v>
      </c>
    </row>
    <row r="71" spans="1:8" x14ac:dyDescent="0.2">
      <c r="H71" s="2">
        <f>(H70+1)^12-1</f>
        <v>0.18699085865621612</v>
      </c>
    </row>
    <row r="73" spans="1:8" x14ac:dyDescent="0.2">
      <c r="A73" s="10" t="s">
        <v>35</v>
      </c>
      <c r="B73" s="2"/>
      <c r="C73" s="2"/>
      <c r="D73" s="2"/>
      <c r="E73" s="2"/>
      <c r="F73" s="2"/>
      <c r="G73" s="2"/>
      <c r="H73" s="2"/>
    </row>
    <row r="75" spans="1:8" x14ac:dyDescent="0.2">
      <c r="C75" s="3" t="s">
        <v>39</v>
      </c>
      <c r="D75" s="3" t="s">
        <v>38</v>
      </c>
      <c r="E75" s="3" t="s">
        <v>37</v>
      </c>
      <c r="F75" s="3" t="s">
        <v>36</v>
      </c>
      <c r="G75" s="3" t="s">
        <v>19</v>
      </c>
      <c r="H75" s="1" t="s">
        <v>20</v>
      </c>
    </row>
    <row r="76" spans="1:8" x14ac:dyDescent="0.2">
      <c r="C76" s="3" t="s">
        <v>3</v>
      </c>
      <c r="D76" s="3" t="s">
        <v>3</v>
      </c>
      <c r="E76" s="3" t="s">
        <v>3</v>
      </c>
      <c r="F76" s="3" t="s">
        <v>3</v>
      </c>
      <c r="G76" s="3" t="s">
        <v>3</v>
      </c>
      <c r="H76" s="1" t="s">
        <v>4</v>
      </c>
    </row>
    <row r="77" spans="1:8" x14ac:dyDescent="0.2">
      <c r="C77" s="3">
        <v>120</v>
      </c>
      <c r="D77" s="3">
        <f>3*(5)</f>
        <v>15</v>
      </c>
      <c r="E77" s="9">
        <v>36</v>
      </c>
      <c r="F77" s="9">
        <v>36</v>
      </c>
      <c r="G77" s="9">
        <f>4*6</f>
        <v>24</v>
      </c>
      <c r="H77" s="1" t="s">
        <v>5</v>
      </c>
    </row>
    <row r="78" spans="1:8" x14ac:dyDescent="0.2">
      <c r="C78" s="4">
        <f>(1+6%)^(1/12)-1</f>
        <v>4.8675505653430484E-3</v>
      </c>
      <c r="D78" s="4">
        <f>(1+6%)^(4/12)-1</f>
        <v>1.9612822422216292E-2</v>
      </c>
      <c r="E78" s="4">
        <f>(1+6%)^(1/12)-1</f>
        <v>4.8675505653430484E-3</v>
      </c>
      <c r="F78" s="4">
        <f>(1+15%)^(1/12)-1</f>
        <v>1.171491691985338E-2</v>
      </c>
      <c r="G78" s="4">
        <f>(1+10%)^(1/6)-1</f>
        <v>1.6011867773387367E-2</v>
      </c>
      <c r="H78" s="1" t="s">
        <v>6</v>
      </c>
    </row>
    <row r="79" spans="1:8" x14ac:dyDescent="0.2">
      <c r="C79" s="9">
        <f>-D81</f>
        <v>-718675.04145214928</v>
      </c>
      <c r="D79" s="9">
        <f>-E81</f>
        <v>-459716.43400953914</v>
      </c>
      <c r="E79" s="9">
        <f>-F81</f>
        <v>-353037.82516761188</v>
      </c>
      <c r="F79" s="9">
        <f>-G81</f>
        <v>-202893.2568004051</v>
      </c>
      <c r="G79" s="9">
        <v>0</v>
      </c>
      <c r="H79" s="1" t="s">
        <v>7</v>
      </c>
    </row>
    <row r="80" spans="1:8" x14ac:dyDescent="0.2">
      <c r="C80" s="12">
        <f>PMT(C78,C77,C79,C81)</f>
        <v>7921.5256556101667</v>
      </c>
      <c r="D80" s="3">
        <v>-6000</v>
      </c>
      <c r="E80" s="9">
        <v>-1000</v>
      </c>
      <c r="F80" s="9">
        <v>-1000</v>
      </c>
      <c r="G80" s="9">
        <v>-7000</v>
      </c>
      <c r="H80" s="1" t="s">
        <v>8</v>
      </c>
    </row>
    <row r="81" spans="1:8" x14ac:dyDescent="0.2">
      <c r="C81" s="9">
        <v>0</v>
      </c>
      <c r="D81" s="9">
        <f t="shared" ref="D81:F81" si="4">FV(D78,D77,D80,D79)</f>
        <v>718675.04145214928</v>
      </c>
      <c r="E81" s="9">
        <f t="shared" si="4"/>
        <v>459716.43400953914</v>
      </c>
      <c r="F81" s="9">
        <f t="shared" si="4"/>
        <v>353037.82516761188</v>
      </c>
      <c r="G81" s="9">
        <f>FV(G78,G77,G80,G79)</f>
        <v>202893.2568004051</v>
      </c>
      <c r="H81" s="1" t="s">
        <v>9</v>
      </c>
    </row>
    <row r="83" spans="1:8" x14ac:dyDescent="0.2">
      <c r="A83" s="10" t="s">
        <v>40</v>
      </c>
      <c r="B83" s="2"/>
      <c r="C83" s="2"/>
      <c r="D83" s="2"/>
      <c r="E83" s="2"/>
      <c r="F83" s="2"/>
      <c r="G83" s="2"/>
      <c r="H83" s="2"/>
    </row>
    <row r="85" spans="1:8" x14ac:dyDescent="0.2">
      <c r="B85" s="1">
        <f>(1+12%/3)^3-1</f>
        <v>0.12486400000000009</v>
      </c>
    </row>
    <row r="86" spans="1:8" x14ac:dyDescent="0.2">
      <c r="B86" s="1">
        <f>(1+10%/4)^4-1</f>
        <v>0.10381289062499977</v>
      </c>
    </row>
    <row r="87" spans="1:8" x14ac:dyDescent="0.2">
      <c r="B87" s="1">
        <f>(1+6%/3)^6-1</f>
        <v>0.12616241926400007</v>
      </c>
      <c r="C87" s="1" t="s">
        <v>41</v>
      </c>
    </row>
    <row r="88" spans="1:8" x14ac:dyDescent="0.2">
      <c r="B88" s="1">
        <f>0.122</f>
        <v>0.122</v>
      </c>
    </row>
    <row r="90" spans="1:8" x14ac:dyDescent="0.2">
      <c r="A90" s="10" t="s">
        <v>42</v>
      </c>
      <c r="B90" s="2"/>
      <c r="C90" s="2"/>
      <c r="D90" s="2"/>
      <c r="E90" s="2"/>
      <c r="F90" s="2"/>
      <c r="G90" s="2"/>
      <c r="H90" s="2"/>
    </row>
    <row r="92" spans="1:8" x14ac:dyDescent="0.2">
      <c r="B92" s="14">
        <f>PMT(1.07^(1/12)-1,120,40000)</f>
        <v>-460.01320018069214</v>
      </c>
    </row>
    <row r="93" spans="1:8" x14ac:dyDescent="0.2">
      <c r="B93" s="14">
        <f>B92*PV(1.07^(1/12)-1,120-48,1)</f>
        <v>27145.920536326234</v>
      </c>
    </row>
    <row r="94" spans="1:8" x14ac:dyDescent="0.2">
      <c r="B94" s="14">
        <f>B92*PV(1.07^(1/12)-1,120-7*12,1)</f>
        <v>14945.742590854506</v>
      </c>
      <c r="C94" s="14">
        <f>B94+B94*(1.07^(1/12)-1)*5</f>
        <v>15368.269598511639</v>
      </c>
    </row>
    <row r="96" spans="1:8" x14ac:dyDescent="0.2">
      <c r="A96" s="10" t="s">
        <v>43</v>
      </c>
      <c r="B96" s="2"/>
      <c r="C96" s="2"/>
      <c r="D96" s="2"/>
      <c r="E96" s="2"/>
      <c r="F96" s="2"/>
      <c r="G96" s="2"/>
      <c r="H96" s="2"/>
    </row>
    <row r="98" spans="2:3" x14ac:dyDescent="0.2">
      <c r="B98" s="14">
        <f>PMT(1.1^(1/12)-1,120,70000)</f>
        <v>-908.42824306537898</v>
      </c>
    </row>
    <row r="99" spans="2:3" x14ac:dyDescent="0.2">
      <c r="B99" s="14">
        <f>B98*PV(1.1^(1/12)-1,120-48,1)</f>
        <v>49615.903564518499</v>
      </c>
      <c r="C99" s="14">
        <f>B99*119.3/112.7</f>
        <v>52521.537668563054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Tsaban Shay</dc:creator>
  <cp:lastModifiedBy>Shay Tsaban</cp:lastModifiedBy>
  <dcterms:created xsi:type="dcterms:W3CDTF">2025-04-19T12:42:18Z</dcterms:created>
  <dcterms:modified xsi:type="dcterms:W3CDTF">2025-10-23T11:38:27Z</dcterms:modified>
</cp:coreProperties>
</file>