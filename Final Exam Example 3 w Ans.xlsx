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CLB/Principles of Finance/2025C/"/>
    </mc:Choice>
  </mc:AlternateContent>
  <xr:revisionPtr revIDLastSave="10" documentId="13_ncr:1_{A93050C1-C54C-EC4E-AA57-F3F73D2320C4}" xr6:coauthVersionLast="47" xr6:coauthVersionMax="47" xr10:uidLastSave="{7DCEBB50-53DA-1042-9F9F-F5A5EA781937}"/>
  <bookViews>
    <workbookView xWindow="6940" yWindow="3180" windowWidth="17260" windowHeight="21100" xr2:uid="{9B7B3A6D-4A03-1440-9F5B-1CB8E571F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36" i="1"/>
  <c r="G218" i="1"/>
  <c r="H214" i="1"/>
  <c r="C227" i="1"/>
  <c r="C226" i="1"/>
  <c r="B215" i="1"/>
  <c r="B216" i="1" s="1"/>
  <c r="B217" i="1" s="1"/>
  <c r="B218" i="1" s="1"/>
  <c r="B219" i="1" s="1"/>
  <c r="B220" i="1" s="1"/>
  <c r="B221" i="1" s="1"/>
  <c r="B222" i="1" s="1"/>
  <c r="C200" i="1"/>
  <c r="B189" i="1"/>
  <c r="B174" i="1"/>
  <c r="B173" i="1"/>
  <c r="B172" i="1"/>
  <c r="B171" i="1"/>
  <c r="G156" i="1"/>
  <c r="G159" i="1" s="1"/>
  <c r="F157" i="1" s="1"/>
  <c r="D156" i="1"/>
  <c r="D155" i="1"/>
  <c r="E156" i="1"/>
  <c r="F156" i="1"/>
  <c r="E155" i="1"/>
  <c r="F155" i="1"/>
  <c r="G155" i="1"/>
  <c r="A138" i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G124" i="1"/>
  <c r="A122" i="1" s="1"/>
  <c r="C110" i="1"/>
  <c r="C109" i="1"/>
  <c r="F110" i="1"/>
  <c r="F109" i="1"/>
  <c r="G110" i="1"/>
  <c r="G109" i="1"/>
  <c r="G81" i="1"/>
  <c r="D81" i="1"/>
  <c r="C81" i="1"/>
  <c r="G80" i="1"/>
  <c r="C80" i="1"/>
  <c r="E71" i="1"/>
  <c r="E72" i="1"/>
  <c r="C72" i="1"/>
  <c r="C71" i="1"/>
  <c r="D72" i="1"/>
  <c r="G72" i="1"/>
  <c r="G73" i="1" s="1"/>
  <c r="F75" i="1" s="1"/>
  <c r="G71" i="1"/>
  <c r="E50" i="1"/>
  <c r="F51" i="1"/>
  <c r="F50" i="1"/>
  <c r="C36" i="1"/>
  <c r="E36" i="1"/>
  <c r="F35" i="1"/>
  <c r="E12" i="1"/>
  <c r="F13" i="1"/>
  <c r="F12" i="1"/>
  <c r="F16" i="1" s="1"/>
  <c r="E14" i="1" s="1"/>
  <c r="E16" i="1" s="1"/>
  <c r="B10" i="1" s="1"/>
  <c r="F52" i="1" l="1"/>
  <c r="E54" i="1" s="1"/>
  <c r="E52" i="1" s="1"/>
  <c r="A49" i="1" s="1"/>
  <c r="G219" i="1"/>
  <c r="B191" i="1"/>
  <c r="B190" i="1"/>
  <c r="F159" i="1"/>
  <c r="E157" i="1"/>
  <c r="F39" i="1"/>
  <c r="E37" i="1" s="1"/>
  <c r="E39" i="1" s="1"/>
  <c r="D37" i="1" s="1"/>
  <c r="D39" i="1" s="1"/>
  <c r="C37" i="1" s="1"/>
  <c r="C39" i="1" s="1"/>
  <c r="A34" i="1" s="1"/>
  <c r="G82" i="1"/>
  <c r="F84" i="1" s="1"/>
  <c r="F82" i="1" s="1"/>
  <c r="E84" i="1" s="1"/>
  <c r="E82" i="1" s="1"/>
  <c r="D84" i="1" s="1"/>
  <c r="D82" i="1" s="1"/>
  <c r="C84" i="1" s="1"/>
  <c r="C82" i="1" s="1"/>
  <c r="A79" i="1" s="1"/>
  <c r="G111" i="1"/>
  <c r="F113" i="1" s="1"/>
  <c r="F111" i="1" s="1"/>
  <c r="F73" i="1"/>
  <c r="H218" i="1" l="1"/>
  <c r="G220" i="1"/>
  <c r="E159" i="1"/>
  <c r="D157" i="1" s="1"/>
  <c r="D158" i="1" s="1"/>
  <c r="A154" i="1" s="1"/>
  <c r="E113" i="1"/>
  <c r="E111" i="1" s="1"/>
  <c r="D113" i="1" s="1"/>
  <c r="D111" i="1" s="1"/>
  <c r="C113" i="1" s="1"/>
  <c r="C111" i="1" s="1"/>
  <c r="A108" i="1" s="1"/>
  <c r="E75" i="1"/>
  <c r="E73" i="1" s="1"/>
  <c r="D75" i="1" s="1"/>
  <c r="D73" i="1" s="1"/>
  <c r="C75" i="1" s="1"/>
  <c r="C73" i="1" s="1"/>
  <c r="A70" i="1" s="1"/>
</calcChain>
</file>

<file path=xl/sharedStrings.xml><?xml version="1.0" encoding="utf-8"?>
<sst xmlns="http://schemas.openxmlformats.org/spreadsheetml/2006/main" count="221" uniqueCount="125">
  <si>
    <t>שאלה 1</t>
  </si>
  <si>
    <t>משה מתכנן להפקיד בתום כל חצי שנה סכום קבוע של 5,000 ש״ח.</t>
  </si>
  <si>
    <t xml:space="preserve">החסכון נושא ריבית שנתית בשיעור 10% לשנה במשך 3 השנים הראשונות, ובכל חצי שנה לאחר מכן, הריבית החצי </t>
  </si>
  <si>
    <t xml:space="preserve">שנתית היא 3%. </t>
  </si>
  <si>
    <t xml:space="preserve">החסכון עצמו ייפרע לאחר ההפקדה האחרונה, שתבוצע בתום השנה ה-10 (ביחס למועד תחילת החסכון). </t>
  </si>
  <si>
    <t xml:space="preserve">נדרש: מהו הסכום הכולל שיצטבר בתום השנה ה-10? הקפידו על חישובי ריבית מדויקים. </t>
  </si>
  <si>
    <t>CMPD</t>
  </si>
  <si>
    <t>Set</t>
  </si>
  <si>
    <t>n</t>
  </si>
  <si>
    <t>I%</t>
  </si>
  <si>
    <t>PV</t>
  </si>
  <si>
    <t>PMT</t>
  </si>
  <si>
    <t>FV</t>
  </si>
  <si>
    <t>Years 1-3</t>
  </si>
  <si>
    <t>Years 4-10</t>
  </si>
  <si>
    <t>End</t>
  </si>
  <si>
    <t>תשובה:</t>
  </si>
  <si>
    <t>שאלה 2</t>
  </si>
  <si>
    <t xml:space="preserve">משקיע מפקיד היום 150,000 ש״ח לחסכון. בנוסף, בכוונתו להפקיד בתום כל חודשיים במשך 3 שנים סכום קבוע </t>
  </si>
  <si>
    <t>של 10,000 ש״ח. בתום 3 השנים תפסקנה ההפקדות לתקופה של שנתיים, אך צבירת הריבית תמשך. החל מהשנה ה-6,</t>
  </si>
  <si>
    <t>המשקיע יפקיד בתום כל חצי שנה סכום של 8,000 ש״ח במשך 3 שנים. הריבית האפקטיבית בחסכון היא:</t>
  </si>
  <si>
    <t>שנה</t>
  </si>
  <si>
    <t>ריבית שנתית</t>
  </si>
  <si>
    <t>Year 4</t>
  </si>
  <si>
    <t>Year 5</t>
  </si>
  <si>
    <t>Years 6-9</t>
  </si>
  <si>
    <t>Years 6-8</t>
  </si>
  <si>
    <t>שאלה 3</t>
  </si>
  <si>
    <t>משקיעה נתבקשה לחשב את הערך הנוכחי של העסקה הבאה.</t>
  </si>
  <si>
    <t>בתום כל רבעון במשך 4 שנים, מקבלים 12,000 ש״ח.</t>
  </si>
  <si>
    <t>בתום כל חודשיים במהלך 3 השנים הבאות, מקבלים 8,000 ש״ח.</t>
  </si>
  <si>
    <t>הריבית האפקטיבית היא קבועה בשיעור 8% לשנה.</t>
  </si>
  <si>
    <t>נדרש: מהו הערך הנוכחי?</t>
  </si>
  <si>
    <t>Years 5-7</t>
  </si>
  <si>
    <t>Years 1-4</t>
  </si>
  <si>
    <t>התשובה:</t>
  </si>
  <si>
    <t>שאלה 4</t>
  </si>
  <si>
    <t xml:space="preserve">בתום כל חודש במשך שנתיים, מקבלים 15,000 ש״ח. </t>
  </si>
  <si>
    <t xml:space="preserve">בתום כל חצי שנה בשנתיים לאחר מכן, מקבלים 17,000 ש״ח. </t>
  </si>
  <si>
    <t>לאחר מכן חלה הפסקה בתקבולים במשך שנתיים, ובתום כל חודש ב-4 השנים לאחר מכן, מקבלים 1,000 ש״ח.</t>
  </si>
  <si>
    <t>בשאלה זו התקבלו שתי גרסאות פתרון.</t>
  </si>
  <si>
    <t>האחת - מניחה שהתשלום במהלך 3 השנים הוא כל שנה, והשניה - מניחה שהתשלום הוא בתום כל רבעון ב-3 שנים</t>
  </si>
  <si>
    <t xml:space="preserve">אלו. כך, למרות שנכללו שתי המילים בהיגד, התחשבתי בכל וריאציות הפתרון בנושא. </t>
  </si>
  <si>
    <t>תשובה עם ״כל רבעון״:</t>
  </si>
  <si>
    <t>תשובה עם ״כל שנה״:</t>
  </si>
  <si>
    <t>Years 3-4</t>
  </si>
  <si>
    <t>Years 1-2</t>
  </si>
  <si>
    <r>
      <t xml:space="preserve">בתום כל רבעון </t>
    </r>
    <r>
      <rPr>
        <strike/>
        <sz val="12"/>
        <color theme="1"/>
        <rFont val="David"/>
      </rPr>
      <t>שנה</t>
    </r>
    <r>
      <rPr>
        <sz val="12"/>
        <color theme="1"/>
        <rFont val="David"/>
      </rPr>
      <t xml:space="preserve"> במהלך 3 השנים לאחר מכן, מקבלים 25,000 ש״ח. </t>
    </r>
  </si>
  <si>
    <t>Years 10-13</t>
  </si>
  <si>
    <t>Years 8-9</t>
  </si>
  <si>
    <t>שאלה 5</t>
  </si>
  <si>
    <t>משקיע זכאי להשקיע בנכס שצפוי להניב לו בתום כל רבעון במשך 3 השנים הקרובות סכום של 15,000 ש״ח.</t>
  </si>
  <si>
    <t>בתום כל שנה לאחר מכן, עד וכולל תום השנה ה-6, יקבל המשקיע סכום שנתי של 23,000 ש״ח.</t>
  </si>
  <si>
    <t>בתום השנה ה-6, יקבל בנוסף לסכום השנתי מענק חד פעמי בסך 150,000 ש״ח.</t>
  </si>
  <si>
    <t>בתום כל חודשיים במהלך השנים לאחר מכן, עד וכולל תום השנה ה-12, יקבל 3,000 ש״ח.</t>
  </si>
  <si>
    <t>להלן נתוני הריבית:</t>
  </si>
  <si>
    <t>ריבית</t>
  </si>
  <si>
    <t>Years 11-12</t>
  </si>
  <si>
    <t>Years 7-10</t>
  </si>
  <si>
    <t>Year 6</t>
  </si>
  <si>
    <t>Years 4-5</t>
  </si>
  <si>
    <t>שאלה 6</t>
  </si>
  <si>
    <t xml:space="preserve">משקיע מעוניין לרכוש פריט רכוש קבוע. </t>
  </si>
  <si>
    <t xml:space="preserve">מחיר המחירון של הפריט הוא 100,000 ש״ח, אך כל מי שקונה אותו במזומן יכול להנות מהנחת מזומן בשיעור 7%. </t>
  </si>
  <si>
    <t xml:space="preserve">היבואן מציע לבצע את התשלום ב-100 תשלומים חודשיים שווים בסך 1,000 ש״ח כל אחד. </t>
  </si>
  <si>
    <t>מהי הריבית השנתית המגולמת בהסדר?</t>
  </si>
  <si>
    <t>ריבית חודשית</t>
  </si>
  <si>
    <t>תשובה (ריבית לאחר המרה לשנה):</t>
  </si>
  <si>
    <t>שאלה 7</t>
  </si>
  <si>
    <t>משקיע מתכנן להפקיד בתום כל חודש במשך 5 שנים סכום של 2,500 ש״ח לפנסיה.</t>
  </si>
  <si>
    <t>לאחר מכן בכוונתו להפקיד בתום כל חודש לפנסיה סכום של 5,000 ש״ח במשך 4 שנים.</t>
  </si>
  <si>
    <t>לאחר מכן, בכוונתו להפקיד בתום כל חצי שנה לפנסיה סכום של 7,000 ש״ח במשך 5 שנים.</t>
  </si>
  <si>
    <t xml:space="preserve">בתום כל חודש במהלך 7 השנים העוקבות יוכל המשקיע למשוך סכום חודשי קבוע. </t>
  </si>
  <si>
    <t>נתוני ריבית:</t>
  </si>
  <si>
    <t>ריבית זו תקפה גם לשנים העוקבות</t>
  </si>
  <si>
    <t>Years 1-5</t>
  </si>
  <si>
    <t>Years 10-14</t>
  </si>
  <si>
    <t>Years 15-21</t>
  </si>
  <si>
    <t>שאלה 8</t>
  </si>
  <si>
    <t>לווה יכולה לבחור בין החלופות הבאות בנטילת הלוואה ל-8 שנים אשר תוחזר בתשלום אחד של קרן וריבית:</t>
  </si>
  <si>
    <t>א. ריבית שנתית נקובה בשיעור 8% המחושבת כל 3 חודשים.</t>
  </si>
  <si>
    <t>ב. ריבית נקובה חצי שנתית בשיעור 4% המחושבת כל שנה.</t>
  </si>
  <si>
    <t>ג. ריבית נקובה חצי שנתית בשיעור 5% המחושבת כל רבעון.</t>
  </si>
  <si>
    <t>ד. ריבית שנתית נקובה בשיעור 9% המחושבת פעם בשנה.</t>
  </si>
  <si>
    <t xml:space="preserve">נדרש: חשבו את הריבית האפקטיבית השנתית בכל חלופה וציינו את החלופה המועדפת. </t>
  </si>
  <si>
    <t>חלופה</t>
  </si>
  <si>
    <t>ריבית אפק׳</t>
  </si>
  <si>
    <t>א</t>
  </si>
  <si>
    <t>ב</t>
  </si>
  <si>
    <t>ג</t>
  </si>
  <si>
    <t>ד</t>
  </si>
  <si>
    <t xml:space="preserve">החלופה המועדפת היא חלופה ב. </t>
  </si>
  <si>
    <t xml:space="preserve">לתשומת הלב, מי שלא פירט את הדרך בצורה ברורה ולא ציין את כל הריביות בכל החלופות קיבל ציון חלקי בלבד. </t>
  </si>
  <si>
    <t>שאלה 9</t>
  </si>
  <si>
    <t>משקיע נטל הלוואה בסך 500,000 ש״ח לתקופה של 10 שנים.</t>
  </si>
  <si>
    <t xml:space="preserve">ההלוואה מוחזרת בתשלומים חודשיים במשך 10 שנים אלו. </t>
  </si>
  <si>
    <t>הריבית השנתית בהלוואה היא 6%.</t>
  </si>
  <si>
    <t>נדרש:</t>
  </si>
  <si>
    <t>א. בהנחה שההלוואה נפרעת בשיטת שפיצר, מהו התשלום התקופתי (החודשי) הקבוע?</t>
  </si>
  <si>
    <t>ב. מהי יתרת ההלוואה לאחר 7 שנים (רגע לאחר התשלום בסוף השנה ה-7)?</t>
  </si>
  <si>
    <t>ג. מהם סך תשלומי הריבית לאורך חיי ההלוואה כולה?</t>
  </si>
  <si>
    <t>פתרון:</t>
  </si>
  <si>
    <t>א.</t>
  </si>
  <si>
    <t>ב.</t>
  </si>
  <si>
    <t>ג.</t>
  </si>
  <si>
    <t>שאלה 10</t>
  </si>
  <si>
    <t>משה נטל הלוואה בסך 500,000 ש״ח הצמודה למדד. ההלוואה נושאת ריבית שנתית צמודה בשיעור 10% לשנה ונפרעת</t>
  </si>
  <si>
    <t xml:space="preserve">נדרש: מהי יתרת ההלוואה (כולל רכיב ההצמדה) בחלוף 6 שנים, אם ידוע שהמדד במועד נטילת ההלוואה הוא 110 </t>
  </si>
  <si>
    <t>ואילו המדד בחלוף 6 השנים הוא 117.3.</t>
  </si>
  <si>
    <t>בתשלומים חודשיים שווים (לוח סילוקין שפיצר) במשך 10 שנים.</t>
  </si>
  <si>
    <t>שאלה 11</t>
  </si>
  <si>
    <t>חברה שוקלת לרכוש מכונה לטובת פעילותה העסקית.</t>
  </si>
  <si>
    <t>עלות המכונה תשולם מיד בסך 500,000 ש״ח.</t>
  </si>
  <si>
    <t>החברה צופה שכתוצאה מהמכונה תיווצר עלייה בהכנסות בסכום של 100,000 ש״ח בתום כל אחת מ-3 השנים הקרובות,</t>
  </si>
  <si>
    <t>ובסכום של 150,000 ש״ח בתום כל אחת מ-5 השנים לאחר מכן.</t>
  </si>
  <si>
    <t>מחיר ההון של החברה הוא 10% לשנה.</t>
  </si>
  <si>
    <t>א. חשבו את ה-NPV בגין ההשקעה וחוו דיעה בדבר כדאיותה.</t>
  </si>
  <si>
    <t>ב. חשבו את ה-IRR בגין ההשקעה וחוו דיעה בדבר כדאיותה בהתאם.</t>
  </si>
  <si>
    <t xml:space="preserve">NPV = </t>
  </si>
  <si>
    <t xml:space="preserve">IRR = </t>
  </si>
  <si>
    <t>ה-NPV חיובי ולכן הפרויקט כדאי</t>
  </si>
  <si>
    <t>ה-IRR גבוה ממחיר ההון ולכן הפרויקט כדאי</t>
  </si>
  <si>
    <t>סעיף ספציפי זה לא במבחן ב-2025ג</t>
  </si>
  <si>
    <t>לא למבחן ב-2025ג</t>
  </si>
  <si>
    <t>מבחן לדוגמה 3 כולל פתרון לקראת בחינות 2025ג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</si>
</sst>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David"/>
    </font>
    <font>
      <strike/>
      <sz val="12"/>
      <color theme="1"/>
      <name val="David"/>
    </font>
    <font>
      <sz val="12"/>
      <color rgb="FFFF0000"/>
      <name val="David"/>
      <family val="2"/>
      <charset val="177"/>
    </font>
    <font>
      <b/>
      <sz val="12"/>
      <color rgb="FFFF0000"/>
      <name val="David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9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 applyAlignment="1">
      <alignment horizontal="center"/>
    </xf>
    <xf numFmtId="3" fontId="2" fillId="2" borderId="0" xfId="0" applyNumberFormat="1" applyFont="1" applyFill="1"/>
    <xf numFmtId="10" fontId="2" fillId="2" borderId="0" xfId="1" applyNumberFormat="1" applyFont="1" applyFill="1"/>
    <xf numFmtId="10" fontId="2" fillId="0" borderId="0" xfId="1" applyNumberFormat="1" applyFont="1"/>
    <xf numFmtId="38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4" fillId="2" borderId="0" xfId="0" applyFont="1" applyFill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2250-1DF1-1B4E-A2DA-2863B11C7238}">
  <dimension ref="A1:H234"/>
  <sheetViews>
    <sheetView rightToLeft="1" tabSelected="1" zoomScale="130" zoomScaleNormal="130" workbookViewId="0">
      <selection activeCell="G4" sqref="G4"/>
    </sheetView>
  </sheetViews>
  <sheetFormatPr baseColWidth="10" defaultRowHeight="16" x14ac:dyDescent="0.2"/>
  <cols>
    <col min="1" max="1" width="10.83203125" style="1"/>
    <col min="2" max="2" width="11.1640625" style="1" bestFit="1" customWidth="1"/>
    <col min="3" max="3" width="13" style="1" customWidth="1"/>
    <col min="4" max="5" width="11.6640625" style="1" bestFit="1" customWidth="1"/>
    <col min="6" max="6" width="10.83203125" style="1"/>
    <col min="7" max="7" width="11.1640625" style="1" bestFit="1" customWidth="1"/>
    <col min="8" max="16384" width="10.83203125" style="1"/>
  </cols>
  <sheetData>
    <row r="1" spans="1:8" x14ac:dyDescent="0.2">
      <c r="A1" s="16" t="s">
        <v>124</v>
      </c>
    </row>
    <row r="3" spans="1:8" x14ac:dyDescent="0.2">
      <c r="A3" s="2" t="s">
        <v>0</v>
      </c>
      <c r="B3" s="2"/>
      <c r="C3" s="2"/>
      <c r="D3" s="2"/>
      <c r="E3" s="2"/>
      <c r="F3" s="2"/>
      <c r="G3" s="2"/>
      <c r="H3" s="2"/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8" spans="1:8" x14ac:dyDescent="0.2">
      <c r="A8" s="1" t="s">
        <v>5</v>
      </c>
    </row>
    <row r="10" spans="1:8" x14ac:dyDescent="0.2">
      <c r="A10" s="1" t="s">
        <v>16</v>
      </c>
      <c r="B10" s="5">
        <f>E16</f>
        <v>136720.19016669958</v>
      </c>
      <c r="E10" s="3" t="s">
        <v>14</v>
      </c>
      <c r="F10" s="3" t="s">
        <v>13</v>
      </c>
      <c r="G10" s="1" t="s">
        <v>6</v>
      </c>
    </row>
    <row r="11" spans="1:8" x14ac:dyDescent="0.2">
      <c r="E11" s="3" t="s">
        <v>15</v>
      </c>
      <c r="F11" s="3" t="s">
        <v>15</v>
      </c>
      <c r="G11" s="1" t="s">
        <v>7</v>
      </c>
    </row>
    <row r="12" spans="1:8" x14ac:dyDescent="0.2">
      <c r="E12" s="4">
        <f>7*2</f>
        <v>14</v>
      </c>
      <c r="F12" s="4">
        <f>3*2</f>
        <v>6</v>
      </c>
      <c r="G12" s="1" t="s">
        <v>8</v>
      </c>
    </row>
    <row r="13" spans="1:8" x14ac:dyDescent="0.2">
      <c r="E13" s="3">
        <v>3</v>
      </c>
      <c r="F13" s="3">
        <f>((1+10%)^0.5-1)*100</f>
        <v>4.8808848170151631</v>
      </c>
      <c r="G13" s="1" t="s">
        <v>9</v>
      </c>
    </row>
    <row r="14" spans="1:8" x14ac:dyDescent="0.2">
      <c r="E14" s="4">
        <f>-F16</f>
        <v>-33907.786437215989</v>
      </c>
      <c r="F14" s="4">
        <v>0</v>
      </c>
      <c r="G14" s="1" t="s">
        <v>10</v>
      </c>
    </row>
    <row r="15" spans="1:8" x14ac:dyDescent="0.2">
      <c r="E15" s="4">
        <v>-5000</v>
      </c>
      <c r="F15" s="4">
        <v>-5000</v>
      </c>
      <c r="G15" s="1" t="s">
        <v>11</v>
      </c>
    </row>
    <row r="16" spans="1:8" x14ac:dyDescent="0.2">
      <c r="E16" s="4">
        <f>FV(E13/100,E12,E15,E14)</f>
        <v>136720.19016669958</v>
      </c>
      <c r="F16" s="4">
        <f>FV(F13/100,F12,F15,F14)</f>
        <v>33907.786437215989</v>
      </c>
      <c r="G16" s="1" t="s">
        <v>12</v>
      </c>
    </row>
    <row r="18" spans="1:8" x14ac:dyDescent="0.2">
      <c r="A18" s="2" t="s">
        <v>17</v>
      </c>
      <c r="B18" s="2"/>
      <c r="C18" s="2"/>
      <c r="D18" s="2"/>
      <c r="E18" s="2"/>
      <c r="F18" s="2"/>
      <c r="G18" s="2"/>
      <c r="H18" s="2"/>
    </row>
    <row r="19" spans="1:8" x14ac:dyDescent="0.2">
      <c r="A19" s="1" t="s">
        <v>18</v>
      </c>
    </row>
    <row r="20" spans="1:8" x14ac:dyDescent="0.2">
      <c r="A20" s="1" t="s">
        <v>19</v>
      </c>
    </row>
    <row r="21" spans="1:8" x14ac:dyDescent="0.2">
      <c r="A21" s="1" t="s">
        <v>20</v>
      </c>
    </row>
    <row r="23" spans="1:8" x14ac:dyDescent="0.2">
      <c r="A23" s="1" t="s">
        <v>21</v>
      </c>
      <c r="B23" s="1" t="s">
        <v>22</v>
      </c>
    </row>
    <row r="24" spans="1:8" x14ac:dyDescent="0.2">
      <c r="A24" s="1">
        <v>1</v>
      </c>
      <c r="B24" s="6">
        <v>0.1</v>
      </c>
    </row>
    <row r="25" spans="1:8" x14ac:dyDescent="0.2">
      <c r="A25" s="1">
        <v>2</v>
      </c>
      <c r="B25" s="6">
        <v>0.1</v>
      </c>
    </row>
    <row r="26" spans="1:8" x14ac:dyDescent="0.2">
      <c r="A26" s="1">
        <v>3</v>
      </c>
      <c r="B26" s="6">
        <v>0.1</v>
      </c>
    </row>
    <row r="27" spans="1:8" x14ac:dyDescent="0.2">
      <c r="A27" s="1">
        <v>4</v>
      </c>
      <c r="B27" s="6">
        <v>0.1</v>
      </c>
    </row>
    <row r="28" spans="1:8" x14ac:dyDescent="0.2">
      <c r="A28" s="1">
        <v>5</v>
      </c>
      <c r="B28" s="6">
        <v>0.08</v>
      </c>
    </row>
    <row r="29" spans="1:8" x14ac:dyDescent="0.2">
      <c r="A29" s="1">
        <v>6</v>
      </c>
      <c r="B29" s="7">
        <v>0.10249999999999999</v>
      </c>
    </row>
    <row r="30" spans="1:8" x14ac:dyDescent="0.2">
      <c r="A30" s="1">
        <v>7</v>
      </c>
      <c r="B30" s="7">
        <v>0.10249999999999999</v>
      </c>
    </row>
    <row r="31" spans="1:8" x14ac:dyDescent="0.2">
      <c r="A31" s="1">
        <v>8</v>
      </c>
      <c r="B31" s="7">
        <v>0.10249999999999999</v>
      </c>
    </row>
    <row r="33" spans="1:8" x14ac:dyDescent="0.2">
      <c r="A33" s="1" t="s">
        <v>16</v>
      </c>
      <c r="C33" s="3" t="s">
        <v>26</v>
      </c>
      <c r="D33" s="3" t="s">
        <v>24</v>
      </c>
      <c r="E33" s="3" t="s">
        <v>23</v>
      </c>
      <c r="F33" s="3" t="s">
        <v>13</v>
      </c>
      <c r="G33" s="1" t="s">
        <v>6</v>
      </c>
    </row>
    <row r="34" spans="1:8" x14ac:dyDescent="0.2">
      <c r="A34" s="9">
        <f>C39</f>
        <v>701372.65922019316</v>
      </c>
      <c r="C34" s="3" t="s">
        <v>15</v>
      </c>
      <c r="D34" s="3" t="s">
        <v>15</v>
      </c>
      <c r="E34" s="3" t="s">
        <v>15</v>
      </c>
      <c r="F34" s="3" t="s">
        <v>15</v>
      </c>
      <c r="G34" s="1" t="s">
        <v>7</v>
      </c>
    </row>
    <row r="35" spans="1:8" x14ac:dyDescent="0.2">
      <c r="C35" s="3">
        <v>6</v>
      </c>
      <c r="D35" s="4">
        <v>1</v>
      </c>
      <c r="E35" s="4">
        <v>1</v>
      </c>
      <c r="F35" s="4">
        <f>6*3</f>
        <v>18</v>
      </c>
      <c r="G35" s="1" t="s">
        <v>8</v>
      </c>
    </row>
    <row r="36" spans="1:8" x14ac:dyDescent="0.2">
      <c r="C36" s="3">
        <f>((1+B29)^0.5-1)*100</f>
        <v>5.0000000000000044</v>
      </c>
      <c r="D36" s="3">
        <v>8</v>
      </c>
      <c r="E36" s="3">
        <f>B27*100</f>
        <v>10</v>
      </c>
      <c r="F36" s="3">
        <f>((1+B24)^(1/6)-1)*100</f>
        <v>1.6011867773387367</v>
      </c>
      <c r="G36" s="1" t="s">
        <v>9</v>
      </c>
    </row>
    <row r="37" spans="1:8" x14ac:dyDescent="0.2">
      <c r="C37" s="4">
        <f>-D39</f>
        <v>-482769.54055194318</v>
      </c>
      <c r="D37" s="4">
        <f>-E39</f>
        <v>-447008.8338443918</v>
      </c>
      <c r="E37" s="4">
        <f>-F39</f>
        <v>-406371.66713126522</v>
      </c>
      <c r="F37" s="4">
        <v>-150000</v>
      </c>
      <c r="G37" s="1" t="s">
        <v>10</v>
      </c>
    </row>
    <row r="38" spans="1:8" x14ac:dyDescent="0.2">
      <c r="C38" s="3">
        <v>-8000</v>
      </c>
      <c r="D38" s="4">
        <v>0</v>
      </c>
      <c r="E38" s="4">
        <v>0</v>
      </c>
      <c r="F38" s="4">
        <v>-10000</v>
      </c>
      <c r="G38" s="1" t="s">
        <v>11</v>
      </c>
    </row>
    <row r="39" spans="1:8" x14ac:dyDescent="0.2">
      <c r="C39" s="4">
        <f>FV(C36/100,C35,C38,C37)</f>
        <v>701372.65922019316</v>
      </c>
      <c r="D39" s="4">
        <f>FV(D36/100,D35,D38,D37)</f>
        <v>482769.54055194318</v>
      </c>
      <c r="E39" s="4">
        <f>FV(E36/100,E35,E38,E37)</f>
        <v>447008.8338443918</v>
      </c>
      <c r="F39" s="4">
        <f>FV(F36/100,F35,F38,F37)</f>
        <v>406371.66713126522</v>
      </c>
      <c r="G39" s="1" t="s">
        <v>12</v>
      </c>
    </row>
    <row r="41" spans="1:8" x14ac:dyDescent="0.2">
      <c r="A41" s="2" t="s">
        <v>27</v>
      </c>
      <c r="B41" s="2"/>
      <c r="C41" s="2"/>
      <c r="D41" s="2"/>
      <c r="E41" s="2"/>
      <c r="F41" s="2"/>
      <c r="G41" s="2"/>
      <c r="H41" s="2"/>
    </row>
    <row r="42" spans="1:8" x14ac:dyDescent="0.2">
      <c r="A42" s="1" t="s">
        <v>28</v>
      </c>
    </row>
    <row r="43" spans="1:8" x14ac:dyDescent="0.2">
      <c r="A43" s="1" t="s">
        <v>29</v>
      </c>
    </row>
    <row r="44" spans="1:8" x14ac:dyDescent="0.2">
      <c r="A44" s="1" t="s">
        <v>30</v>
      </c>
    </row>
    <row r="45" spans="1:8" x14ac:dyDescent="0.2">
      <c r="A45" s="1" t="s">
        <v>31</v>
      </c>
    </row>
    <row r="46" spans="1:8" x14ac:dyDescent="0.2">
      <c r="A46" s="1" t="s">
        <v>32</v>
      </c>
    </row>
    <row r="48" spans="1:8" x14ac:dyDescent="0.2">
      <c r="A48" s="1" t="s">
        <v>35</v>
      </c>
      <c r="C48" s="3"/>
      <c r="D48" s="3"/>
      <c r="E48" s="3" t="s">
        <v>34</v>
      </c>
      <c r="F48" s="3" t="s">
        <v>33</v>
      </c>
      <c r="G48" s="1" t="s">
        <v>6</v>
      </c>
    </row>
    <row r="49" spans="1:8" x14ac:dyDescent="0.2">
      <c r="A49" s="9">
        <f>-E52</f>
        <v>257584.20115531134</v>
      </c>
      <c r="C49" s="3"/>
      <c r="D49" s="3"/>
      <c r="E49" s="3" t="s">
        <v>15</v>
      </c>
      <c r="F49" s="3" t="s">
        <v>15</v>
      </c>
      <c r="G49" s="1" t="s">
        <v>7</v>
      </c>
    </row>
    <row r="50" spans="1:8" x14ac:dyDescent="0.2">
      <c r="C50" s="3"/>
      <c r="D50" s="4"/>
      <c r="E50" s="4">
        <f>4*4</f>
        <v>16</v>
      </c>
      <c r="F50" s="4">
        <f>6*3</f>
        <v>18</v>
      </c>
      <c r="G50" s="1" t="s">
        <v>8</v>
      </c>
    </row>
    <row r="51" spans="1:8" x14ac:dyDescent="0.2">
      <c r="C51" s="3"/>
      <c r="D51" s="3"/>
      <c r="E51" s="3">
        <f>((1+8%)^(1/4)-1)*100</f>
        <v>1.9426546908273501</v>
      </c>
      <c r="F51" s="3">
        <f>((1+8%)^(1/6)-1)*100</f>
        <v>1.290945696346335</v>
      </c>
      <c r="G51" s="1" t="s">
        <v>9</v>
      </c>
    </row>
    <row r="52" spans="1:8" x14ac:dyDescent="0.2">
      <c r="C52" s="4"/>
      <c r="D52" s="4"/>
      <c r="E52" s="4">
        <f>PV(E51/100,E50,E53,E54)</f>
        <v>-257584.20115531134</v>
      </c>
      <c r="F52" s="4">
        <f>PV(F51/100,F50,F53,F54)</f>
        <v>-127762.31227282812</v>
      </c>
      <c r="G52" s="1" t="s">
        <v>10</v>
      </c>
    </row>
    <row r="53" spans="1:8" x14ac:dyDescent="0.2">
      <c r="C53" s="3"/>
      <c r="D53" s="4"/>
      <c r="E53" s="4">
        <v>12000</v>
      </c>
      <c r="F53" s="4">
        <v>8000</v>
      </c>
      <c r="G53" s="1" t="s">
        <v>11</v>
      </c>
    </row>
    <row r="54" spans="1:8" x14ac:dyDescent="0.2">
      <c r="C54" s="4"/>
      <c r="D54" s="4"/>
      <c r="E54" s="4">
        <f>-F52</f>
        <v>127762.31227282812</v>
      </c>
      <c r="F54" s="4">
        <v>0</v>
      </c>
      <c r="G54" s="1" t="s">
        <v>12</v>
      </c>
    </row>
    <row r="56" spans="1:8" x14ac:dyDescent="0.2">
      <c r="A56" s="2" t="s">
        <v>36</v>
      </c>
      <c r="B56" s="2"/>
      <c r="C56" s="2"/>
      <c r="D56" s="2"/>
      <c r="E56" s="2"/>
      <c r="F56" s="2"/>
      <c r="G56" s="2"/>
      <c r="H56" s="2"/>
    </row>
    <row r="57" spans="1:8" x14ac:dyDescent="0.2">
      <c r="A57" s="1" t="s">
        <v>28</v>
      </c>
    </row>
    <row r="58" spans="1:8" x14ac:dyDescent="0.2">
      <c r="A58" s="1" t="s">
        <v>37</v>
      </c>
    </row>
    <row r="59" spans="1:8" x14ac:dyDescent="0.2">
      <c r="A59" s="1" t="s">
        <v>38</v>
      </c>
    </row>
    <row r="60" spans="1:8" x14ac:dyDescent="0.2">
      <c r="A60" s="1" t="s">
        <v>47</v>
      </c>
    </row>
    <row r="61" spans="1:8" x14ac:dyDescent="0.2">
      <c r="A61" s="1" t="s">
        <v>39</v>
      </c>
    </row>
    <row r="62" spans="1:8" x14ac:dyDescent="0.2">
      <c r="A62" s="1" t="s">
        <v>31</v>
      </c>
    </row>
    <row r="64" spans="1:8" x14ac:dyDescent="0.2">
      <c r="A64" s="1" t="s">
        <v>40</v>
      </c>
    </row>
    <row r="65" spans="1:8" x14ac:dyDescent="0.2">
      <c r="A65" s="1" t="s">
        <v>41</v>
      </c>
    </row>
    <row r="66" spans="1:8" x14ac:dyDescent="0.2">
      <c r="A66" s="1" t="s">
        <v>42</v>
      </c>
    </row>
    <row r="69" spans="1:8" x14ac:dyDescent="0.2">
      <c r="A69" s="1" t="s">
        <v>43</v>
      </c>
      <c r="C69" s="3" t="s">
        <v>46</v>
      </c>
      <c r="D69" s="3" t="s">
        <v>45</v>
      </c>
      <c r="E69" s="3" t="s">
        <v>33</v>
      </c>
      <c r="F69" s="3" t="s">
        <v>49</v>
      </c>
      <c r="G69" s="3" t="s">
        <v>48</v>
      </c>
      <c r="H69" s="1" t="s">
        <v>6</v>
      </c>
    </row>
    <row r="70" spans="1:8" x14ac:dyDescent="0.2">
      <c r="A70" s="9">
        <f>-C73</f>
        <v>601212.11297625536</v>
      </c>
      <c r="C70" s="3" t="s">
        <v>15</v>
      </c>
      <c r="D70" s="3" t="s">
        <v>15</v>
      </c>
      <c r="E70" s="3" t="s">
        <v>15</v>
      </c>
      <c r="F70" s="3" t="s">
        <v>15</v>
      </c>
      <c r="G70" s="3" t="s">
        <v>15</v>
      </c>
      <c r="H70" s="1" t="s">
        <v>7</v>
      </c>
    </row>
    <row r="71" spans="1:8" x14ac:dyDescent="0.2">
      <c r="C71" s="4">
        <f>2*12</f>
        <v>24</v>
      </c>
      <c r="D71" s="4">
        <v>4</v>
      </c>
      <c r="E71" s="4">
        <f>3*4</f>
        <v>12</v>
      </c>
      <c r="F71" s="4">
        <v>2</v>
      </c>
      <c r="G71" s="4">
        <f>4*12</f>
        <v>48</v>
      </c>
      <c r="H71" s="1" t="s">
        <v>8</v>
      </c>
    </row>
    <row r="72" spans="1:8" x14ac:dyDescent="0.2">
      <c r="C72" s="3">
        <f>((1+8%)^(1/12)-1)*100</f>
        <v>0.64340301100034303</v>
      </c>
      <c r="D72" s="3">
        <f>((1+8%)^(1/2)-1)*100</f>
        <v>3.9230484541326494</v>
      </c>
      <c r="E72" s="3">
        <f>((1+8%)^(1/4)-1)*100</f>
        <v>1.9426546908273501</v>
      </c>
      <c r="F72" s="3">
        <v>8</v>
      </c>
      <c r="G72" s="3">
        <f>((1+8%)^(1/12)-1)*100</f>
        <v>0.64340301100034303</v>
      </c>
      <c r="H72" s="1" t="s">
        <v>9</v>
      </c>
    </row>
    <row r="73" spans="1:8" x14ac:dyDescent="0.2">
      <c r="C73" s="4">
        <f>PV(C72/100,C71,C74,C75)</f>
        <v>-601212.11297625536</v>
      </c>
      <c r="D73" s="4">
        <f>PV(D72/100,D71,D74,D75)</f>
        <v>-313316.55038342765</v>
      </c>
      <c r="E73" s="4">
        <f>PV(E72/100,E71,E74,E75)</f>
        <v>-293345.23443384882</v>
      </c>
      <c r="F73" s="4">
        <f>PV(F72/100,F71,F74,F75)</f>
        <v>-35307.449535475826</v>
      </c>
      <c r="G73" s="4">
        <f>PV(G72/100,G71,G74,G75)</f>
        <v>-41182.609138179003</v>
      </c>
      <c r="H73" s="1" t="s">
        <v>10</v>
      </c>
    </row>
    <row r="74" spans="1:8" x14ac:dyDescent="0.2">
      <c r="C74" s="4">
        <v>15000</v>
      </c>
      <c r="D74" s="4">
        <v>17000</v>
      </c>
      <c r="E74" s="4">
        <v>25000</v>
      </c>
      <c r="F74" s="4">
        <v>0</v>
      </c>
      <c r="G74" s="4">
        <v>1000</v>
      </c>
      <c r="H74" s="1" t="s">
        <v>11</v>
      </c>
    </row>
    <row r="75" spans="1:8" x14ac:dyDescent="0.2">
      <c r="C75" s="4">
        <f>-D73</f>
        <v>313316.55038342765</v>
      </c>
      <c r="D75" s="4">
        <f>-E73</f>
        <v>293345.23443384882</v>
      </c>
      <c r="E75" s="4">
        <f>-F73</f>
        <v>35307.449535475826</v>
      </c>
      <c r="F75" s="4">
        <f>-G73</f>
        <v>41182.609138179003</v>
      </c>
      <c r="G75" s="4">
        <v>0</v>
      </c>
      <c r="H75" s="1" t="s">
        <v>12</v>
      </c>
    </row>
    <row r="78" spans="1:8" x14ac:dyDescent="0.2">
      <c r="A78" s="1" t="s">
        <v>44</v>
      </c>
      <c r="C78" s="3" t="s">
        <v>46</v>
      </c>
      <c r="D78" s="3" t="s">
        <v>45</v>
      </c>
      <c r="E78" s="3" t="s">
        <v>33</v>
      </c>
      <c r="F78" s="3" t="s">
        <v>49</v>
      </c>
      <c r="G78" s="3" t="s">
        <v>48</v>
      </c>
      <c r="H78" s="1" t="s">
        <v>6</v>
      </c>
    </row>
    <row r="79" spans="1:8" x14ac:dyDescent="0.2">
      <c r="A79" s="9">
        <f>-C82</f>
        <v>453552.2466564299</v>
      </c>
      <c r="C79" s="3" t="s">
        <v>15</v>
      </c>
      <c r="D79" s="3" t="s">
        <v>15</v>
      </c>
      <c r="E79" s="3" t="s">
        <v>15</v>
      </c>
      <c r="F79" s="3" t="s">
        <v>15</v>
      </c>
      <c r="G79" s="3" t="s">
        <v>15</v>
      </c>
      <c r="H79" s="1" t="s">
        <v>7</v>
      </c>
    </row>
    <row r="80" spans="1:8" x14ac:dyDescent="0.2">
      <c r="C80" s="4">
        <f>2*12</f>
        <v>24</v>
      </c>
      <c r="D80" s="4">
        <v>4</v>
      </c>
      <c r="E80" s="4">
        <v>3</v>
      </c>
      <c r="F80" s="4">
        <v>2</v>
      </c>
      <c r="G80" s="4">
        <f>4*12</f>
        <v>48</v>
      </c>
      <c r="H80" s="1" t="s">
        <v>8</v>
      </c>
    </row>
    <row r="81" spans="1:8" x14ac:dyDescent="0.2">
      <c r="C81" s="3">
        <f>((1+8%)^(1/12)-1)*100</f>
        <v>0.64340301100034303</v>
      </c>
      <c r="D81" s="3">
        <f>((1+8%)^(1/2)-1)*100</f>
        <v>3.9230484541326494</v>
      </c>
      <c r="E81" s="3">
        <v>8</v>
      </c>
      <c r="F81" s="3">
        <v>8</v>
      </c>
      <c r="G81" s="3">
        <f>((1+8%)^(1/12)-1)*100</f>
        <v>0.64340301100034303</v>
      </c>
      <c r="H81" s="1" t="s">
        <v>9</v>
      </c>
    </row>
    <row r="82" spans="1:8" x14ac:dyDescent="0.2">
      <c r="C82" s="4">
        <f>PV(C81/100,C80,C83,C84)</f>
        <v>-453552.2466564299</v>
      </c>
      <c r="D82" s="4">
        <f>PV(D81/100,D80,D83,D84)</f>
        <v>-141086.08230798319</v>
      </c>
      <c r="E82" s="4">
        <f>PV(E81/100,E80,E83,E84)</f>
        <v>-92455.616470650333</v>
      </c>
      <c r="F82" s="4">
        <f>PV(F81/100,F80,F83,F84)</f>
        <v>-35307.449535475826</v>
      </c>
      <c r="G82" s="4">
        <f>PV(G81/100,G80,G83,G84)</f>
        <v>-41182.609138179003</v>
      </c>
      <c r="H82" s="1" t="s">
        <v>10</v>
      </c>
    </row>
    <row r="83" spans="1:8" x14ac:dyDescent="0.2">
      <c r="C83" s="4">
        <v>15000</v>
      </c>
      <c r="D83" s="4">
        <v>17000</v>
      </c>
      <c r="E83" s="4">
        <v>25000</v>
      </c>
      <c r="F83" s="4">
        <v>0</v>
      </c>
      <c r="G83" s="4">
        <v>1000</v>
      </c>
      <c r="H83" s="1" t="s">
        <v>11</v>
      </c>
    </row>
    <row r="84" spans="1:8" x14ac:dyDescent="0.2">
      <c r="C84" s="4">
        <f>-D82</f>
        <v>141086.08230798319</v>
      </c>
      <c r="D84" s="4">
        <f>-E82</f>
        <v>92455.616470650333</v>
      </c>
      <c r="E84" s="4">
        <f>-F82</f>
        <v>35307.449535475826</v>
      </c>
      <c r="F84" s="4">
        <f>-G82</f>
        <v>41182.609138179003</v>
      </c>
      <c r="G84" s="4">
        <v>0</v>
      </c>
      <c r="H84" s="1" t="s">
        <v>12</v>
      </c>
    </row>
    <row r="86" spans="1:8" x14ac:dyDescent="0.2">
      <c r="A86" s="2" t="s">
        <v>50</v>
      </c>
      <c r="B86" s="2"/>
      <c r="C86" s="2"/>
      <c r="D86" s="2"/>
      <c r="E86" s="2"/>
      <c r="F86" s="2"/>
      <c r="G86" s="2"/>
      <c r="H86" s="2"/>
    </row>
    <row r="87" spans="1:8" x14ac:dyDescent="0.2">
      <c r="A87" s="1" t="s">
        <v>51</v>
      </c>
    </row>
    <row r="88" spans="1:8" x14ac:dyDescent="0.2">
      <c r="A88" s="1" t="s">
        <v>52</v>
      </c>
    </row>
    <row r="89" spans="1:8" x14ac:dyDescent="0.2">
      <c r="A89" s="1" t="s">
        <v>53</v>
      </c>
    </row>
    <row r="90" spans="1:8" x14ac:dyDescent="0.2">
      <c r="A90" s="1" t="s">
        <v>54</v>
      </c>
    </row>
    <row r="91" spans="1:8" x14ac:dyDescent="0.2">
      <c r="A91" s="1" t="s">
        <v>55</v>
      </c>
    </row>
    <row r="93" spans="1:8" x14ac:dyDescent="0.2">
      <c r="A93" s="1" t="s">
        <v>21</v>
      </c>
      <c r="B93" s="1" t="s">
        <v>56</v>
      </c>
    </row>
    <row r="94" spans="1:8" x14ac:dyDescent="0.2">
      <c r="A94" s="1">
        <v>1</v>
      </c>
      <c r="B94" s="6">
        <v>0.1</v>
      </c>
    </row>
    <row r="95" spans="1:8" x14ac:dyDescent="0.2">
      <c r="A95" s="1">
        <v>2</v>
      </c>
      <c r="B95" s="6">
        <v>0.1</v>
      </c>
    </row>
    <row r="96" spans="1:8" x14ac:dyDescent="0.2">
      <c r="A96" s="1">
        <v>3</v>
      </c>
      <c r="B96" s="6">
        <v>0.1</v>
      </c>
    </row>
    <row r="97" spans="1:8" x14ac:dyDescent="0.2">
      <c r="A97" s="1">
        <v>4</v>
      </c>
      <c r="B97" s="6">
        <v>0.08</v>
      </c>
    </row>
    <row r="98" spans="1:8" x14ac:dyDescent="0.2">
      <c r="A98" s="1">
        <v>5</v>
      </c>
      <c r="B98" s="6">
        <v>0.08</v>
      </c>
    </row>
    <row r="99" spans="1:8" x14ac:dyDescent="0.2">
      <c r="A99" s="1">
        <v>6</v>
      </c>
      <c r="B99" s="6">
        <v>0.09</v>
      </c>
    </row>
    <row r="100" spans="1:8" x14ac:dyDescent="0.2">
      <c r="A100" s="1">
        <v>7</v>
      </c>
      <c r="B100" s="6">
        <v>0.12</v>
      </c>
    </row>
    <row r="101" spans="1:8" x14ac:dyDescent="0.2">
      <c r="A101" s="1">
        <v>8</v>
      </c>
      <c r="B101" s="6">
        <v>0.12</v>
      </c>
    </row>
    <row r="102" spans="1:8" x14ac:dyDescent="0.2">
      <c r="A102" s="1">
        <v>9</v>
      </c>
      <c r="B102" s="6">
        <v>0.12</v>
      </c>
    </row>
    <row r="103" spans="1:8" x14ac:dyDescent="0.2">
      <c r="A103" s="1">
        <v>10</v>
      </c>
      <c r="B103" s="6">
        <v>0.12</v>
      </c>
    </row>
    <row r="104" spans="1:8" x14ac:dyDescent="0.2">
      <c r="A104" s="1">
        <v>11</v>
      </c>
      <c r="B104" s="6">
        <v>0.14000000000000001</v>
      </c>
    </row>
    <row r="105" spans="1:8" x14ac:dyDescent="0.2">
      <c r="A105" s="1">
        <v>12</v>
      </c>
      <c r="B105" s="6">
        <v>0.14000000000000001</v>
      </c>
    </row>
    <row r="107" spans="1:8" x14ac:dyDescent="0.2">
      <c r="A107" s="1" t="s">
        <v>16</v>
      </c>
      <c r="C107" s="3" t="s">
        <v>13</v>
      </c>
      <c r="D107" s="3" t="s">
        <v>60</v>
      </c>
      <c r="E107" s="3" t="s">
        <v>59</v>
      </c>
      <c r="F107" s="3" t="s">
        <v>58</v>
      </c>
      <c r="G107" s="3" t="s">
        <v>57</v>
      </c>
      <c r="H107" s="1" t="s">
        <v>6</v>
      </c>
    </row>
    <row r="108" spans="1:8" x14ac:dyDescent="0.2">
      <c r="A108" s="9">
        <f>-C111</f>
        <v>333396.85811231856</v>
      </c>
      <c r="C108" s="3" t="s">
        <v>15</v>
      </c>
      <c r="D108" s="3" t="s">
        <v>15</v>
      </c>
      <c r="E108" s="3" t="s">
        <v>15</v>
      </c>
      <c r="F108" s="3" t="s">
        <v>15</v>
      </c>
      <c r="G108" s="3" t="s">
        <v>15</v>
      </c>
      <c r="H108" s="1" t="s">
        <v>7</v>
      </c>
    </row>
    <row r="109" spans="1:8" x14ac:dyDescent="0.2">
      <c r="C109" s="4">
        <f>4*3</f>
        <v>12</v>
      </c>
      <c r="D109" s="4">
        <v>2</v>
      </c>
      <c r="E109" s="4">
        <v>1</v>
      </c>
      <c r="F109" s="4">
        <f>4*6</f>
        <v>24</v>
      </c>
      <c r="G109" s="4">
        <f>6*2</f>
        <v>12</v>
      </c>
      <c r="H109" s="1" t="s">
        <v>8</v>
      </c>
    </row>
    <row r="110" spans="1:8" x14ac:dyDescent="0.2">
      <c r="C110" s="3">
        <f>((1+10%)^(1/4)-1)*100</f>
        <v>2.4113689084445111</v>
      </c>
      <c r="D110" s="3">
        <v>8</v>
      </c>
      <c r="E110" s="3">
        <v>9</v>
      </c>
      <c r="F110" s="3">
        <f>((1+12%)^(1/6)-1)*100</f>
        <v>1.9067623060521344</v>
      </c>
      <c r="G110" s="3">
        <f>((1+14%)^(1/6)-1)*100</f>
        <v>2.2078239090491003</v>
      </c>
      <c r="H110" s="1" t="s">
        <v>9</v>
      </c>
    </row>
    <row r="111" spans="1:8" x14ac:dyDescent="0.2">
      <c r="C111" s="4">
        <f>PV(C110/100,C109,C112,C113)</f>
        <v>-333396.85811231856</v>
      </c>
      <c r="D111" s="4">
        <f>PV(D110/100,D109,D112,D113)</f>
        <v>-237851.57406513381</v>
      </c>
      <c r="E111" s="4">
        <f>PV(E110/100,E109,E112,E113)</f>
        <v>-229590.0759895721</v>
      </c>
      <c r="F111" s="4">
        <f>PV(F110/100,F109,F112,F113)</f>
        <v>-77253.182828633595</v>
      </c>
      <c r="G111" s="4">
        <f>PV(G110/100,G109,G112,G113)</f>
        <v>-31324.844873474314</v>
      </c>
      <c r="H111" s="1" t="s">
        <v>10</v>
      </c>
    </row>
    <row r="112" spans="1:8" x14ac:dyDescent="0.2">
      <c r="C112" s="4">
        <v>15000</v>
      </c>
      <c r="D112" s="4">
        <v>23000</v>
      </c>
      <c r="E112" s="4">
        <v>23000</v>
      </c>
      <c r="F112" s="4">
        <v>3000</v>
      </c>
      <c r="G112" s="4">
        <v>3000</v>
      </c>
      <c r="H112" s="1" t="s">
        <v>11</v>
      </c>
    </row>
    <row r="113" spans="1:8" x14ac:dyDescent="0.2">
      <c r="C113" s="4">
        <f>-D111</f>
        <v>237851.57406513381</v>
      </c>
      <c r="D113" s="4">
        <f>-E111</f>
        <v>229590.0759895721</v>
      </c>
      <c r="E113" s="4">
        <f>-F111+150000</f>
        <v>227253.18282863358</v>
      </c>
      <c r="F113" s="4">
        <f>-G111</f>
        <v>31324.844873474314</v>
      </c>
      <c r="G113" s="4">
        <v>0</v>
      </c>
      <c r="H113" s="1" t="s">
        <v>12</v>
      </c>
    </row>
    <row r="115" spans="1:8" x14ac:dyDescent="0.2">
      <c r="A115" s="2" t="s">
        <v>61</v>
      </c>
      <c r="B115" s="2"/>
      <c r="C115" s="2"/>
      <c r="D115" s="2"/>
      <c r="E115" s="2"/>
      <c r="F115" s="2"/>
      <c r="G115" s="2"/>
      <c r="H115" s="2"/>
    </row>
    <row r="116" spans="1:8" x14ac:dyDescent="0.2">
      <c r="A116" s="1" t="s">
        <v>62</v>
      </c>
    </row>
    <row r="117" spans="1:8" x14ac:dyDescent="0.2">
      <c r="A117" s="1" t="s">
        <v>63</v>
      </c>
    </row>
    <row r="118" spans="1:8" x14ac:dyDescent="0.2">
      <c r="A118" s="1" t="s">
        <v>64</v>
      </c>
    </row>
    <row r="119" spans="1:8" x14ac:dyDescent="0.2">
      <c r="A119" s="1" t="s">
        <v>65</v>
      </c>
    </row>
    <row r="121" spans="1:8" x14ac:dyDescent="0.2">
      <c r="A121" s="1" t="s">
        <v>67</v>
      </c>
      <c r="G121" s="3" t="s">
        <v>66</v>
      </c>
      <c r="H121" s="1" t="s">
        <v>6</v>
      </c>
    </row>
    <row r="122" spans="1:8" x14ac:dyDescent="0.2">
      <c r="A122" s="10">
        <f>(1+G124/100)^12-1</f>
        <v>1.7607133580954226E-2</v>
      </c>
      <c r="G122" s="3" t="s">
        <v>15</v>
      </c>
      <c r="H122" s="1" t="s">
        <v>7</v>
      </c>
    </row>
    <row r="123" spans="1:8" x14ac:dyDescent="0.2">
      <c r="G123" s="4">
        <v>100</v>
      </c>
      <c r="H123" s="1" t="s">
        <v>8</v>
      </c>
    </row>
    <row r="124" spans="1:8" x14ac:dyDescent="0.2">
      <c r="G124" s="3">
        <f>RATE(G123,G126,G125,G127)*100</f>
        <v>0.145555193729583</v>
      </c>
      <c r="H124" s="1" t="s">
        <v>9</v>
      </c>
    </row>
    <row r="125" spans="1:8" x14ac:dyDescent="0.2">
      <c r="G125" s="4">
        <v>93000</v>
      </c>
      <c r="H125" s="1" t="s">
        <v>10</v>
      </c>
    </row>
    <row r="126" spans="1:8" x14ac:dyDescent="0.2">
      <c r="G126" s="4">
        <v>-1000</v>
      </c>
      <c r="H126" s="1" t="s">
        <v>11</v>
      </c>
    </row>
    <row r="127" spans="1:8" x14ac:dyDescent="0.2">
      <c r="G127" s="4">
        <v>0</v>
      </c>
      <c r="H127" s="1" t="s">
        <v>12</v>
      </c>
    </row>
    <row r="129" spans="1:8" x14ac:dyDescent="0.2">
      <c r="A129" s="2" t="s">
        <v>68</v>
      </c>
      <c r="B129" s="2"/>
      <c r="C129" s="2"/>
      <c r="D129" s="2"/>
      <c r="E129" s="2"/>
      <c r="F129" s="2"/>
      <c r="G129" s="2"/>
      <c r="H129" s="2"/>
    </row>
    <row r="130" spans="1:8" x14ac:dyDescent="0.2">
      <c r="A130" s="1" t="s">
        <v>69</v>
      </c>
    </row>
    <row r="131" spans="1:8" x14ac:dyDescent="0.2">
      <c r="A131" s="1" t="s">
        <v>70</v>
      </c>
    </row>
    <row r="132" spans="1:8" x14ac:dyDescent="0.2">
      <c r="A132" s="1" t="s">
        <v>71</v>
      </c>
    </row>
    <row r="133" spans="1:8" x14ac:dyDescent="0.2">
      <c r="A133" s="1" t="s">
        <v>72</v>
      </c>
    </row>
    <row r="134" spans="1:8" x14ac:dyDescent="0.2">
      <c r="A134" s="1" t="s">
        <v>73</v>
      </c>
    </row>
    <row r="136" spans="1:8" x14ac:dyDescent="0.2">
      <c r="A136" s="3" t="s">
        <v>21</v>
      </c>
      <c r="B136" s="3" t="s">
        <v>56</v>
      </c>
    </row>
    <row r="137" spans="1:8" x14ac:dyDescent="0.2">
      <c r="A137" s="3">
        <v>1</v>
      </c>
      <c r="B137" s="8">
        <v>0.1</v>
      </c>
    </row>
    <row r="138" spans="1:8" x14ac:dyDescent="0.2">
      <c r="A138" s="3">
        <f>A137+1</f>
        <v>2</v>
      </c>
      <c r="B138" s="8">
        <v>0.1</v>
      </c>
    </row>
    <row r="139" spans="1:8" x14ac:dyDescent="0.2">
      <c r="A139" s="3">
        <f t="shared" ref="A139:A151" si="0">A138+1</f>
        <v>3</v>
      </c>
      <c r="B139" s="8">
        <v>0.1</v>
      </c>
    </row>
    <row r="140" spans="1:8" x14ac:dyDescent="0.2">
      <c r="A140" s="3">
        <f t="shared" si="0"/>
        <v>4</v>
      </c>
      <c r="B140" s="8">
        <v>0.1</v>
      </c>
    </row>
    <row r="141" spans="1:8" x14ac:dyDescent="0.2">
      <c r="A141" s="3">
        <f t="shared" si="0"/>
        <v>5</v>
      </c>
      <c r="B141" s="8">
        <v>0.1</v>
      </c>
    </row>
    <row r="142" spans="1:8" x14ac:dyDescent="0.2">
      <c r="A142" s="3">
        <f t="shared" si="0"/>
        <v>6</v>
      </c>
      <c r="B142" s="8">
        <v>0.09</v>
      </c>
    </row>
    <row r="143" spans="1:8" x14ac:dyDescent="0.2">
      <c r="A143" s="3">
        <f t="shared" si="0"/>
        <v>7</v>
      </c>
      <c r="B143" s="8">
        <v>0.09</v>
      </c>
    </row>
    <row r="144" spans="1:8" x14ac:dyDescent="0.2">
      <c r="A144" s="3">
        <f t="shared" si="0"/>
        <v>8</v>
      </c>
      <c r="B144" s="8">
        <v>0.09</v>
      </c>
    </row>
    <row r="145" spans="1:8" x14ac:dyDescent="0.2">
      <c r="A145" s="3">
        <f t="shared" si="0"/>
        <v>9</v>
      </c>
      <c r="B145" s="8">
        <v>0.09</v>
      </c>
    </row>
    <row r="146" spans="1:8" x14ac:dyDescent="0.2">
      <c r="A146" s="3">
        <f t="shared" si="0"/>
        <v>10</v>
      </c>
      <c r="B146" s="8">
        <v>7.0000000000000007E-2</v>
      </c>
    </row>
    <row r="147" spans="1:8" x14ac:dyDescent="0.2">
      <c r="A147" s="3">
        <f t="shared" si="0"/>
        <v>11</v>
      </c>
      <c r="B147" s="8">
        <v>7.0000000000000007E-2</v>
      </c>
    </row>
    <row r="148" spans="1:8" x14ac:dyDescent="0.2">
      <c r="A148" s="3">
        <f t="shared" si="0"/>
        <v>12</v>
      </c>
      <c r="B148" s="8">
        <v>7.0000000000000007E-2</v>
      </c>
    </row>
    <row r="149" spans="1:8" x14ac:dyDescent="0.2">
      <c r="A149" s="3">
        <f t="shared" si="0"/>
        <v>13</v>
      </c>
      <c r="B149" s="8">
        <v>7.0000000000000007E-2</v>
      </c>
    </row>
    <row r="150" spans="1:8" x14ac:dyDescent="0.2">
      <c r="A150" s="3">
        <f t="shared" si="0"/>
        <v>14</v>
      </c>
      <c r="B150" s="8">
        <v>7.0000000000000007E-2</v>
      </c>
    </row>
    <row r="151" spans="1:8" x14ac:dyDescent="0.2">
      <c r="A151" s="3">
        <f t="shared" si="0"/>
        <v>15</v>
      </c>
      <c r="B151" s="8">
        <v>0.04</v>
      </c>
      <c r="C151" s="1" t="s">
        <v>74</v>
      </c>
    </row>
    <row r="153" spans="1:8" x14ac:dyDescent="0.2">
      <c r="A153" s="1" t="s">
        <v>16</v>
      </c>
      <c r="D153" s="3" t="s">
        <v>77</v>
      </c>
      <c r="E153" s="3" t="s">
        <v>76</v>
      </c>
      <c r="F153" s="3" t="s">
        <v>25</v>
      </c>
      <c r="G153" s="3" t="s">
        <v>75</v>
      </c>
      <c r="H153" s="1" t="s">
        <v>6</v>
      </c>
    </row>
    <row r="154" spans="1:8" x14ac:dyDescent="0.2">
      <c r="A154" s="9">
        <f>D158</f>
        <v>11744.736630250558</v>
      </c>
      <c r="D154" s="3" t="s">
        <v>15</v>
      </c>
      <c r="E154" s="3" t="s">
        <v>15</v>
      </c>
      <c r="F154" s="3" t="s">
        <v>15</v>
      </c>
      <c r="G154" s="3" t="s">
        <v>15</v>
      </c>
      <c r="H154" s="1" t="s">
        <v>7</v>
      </c>
    </row>
    <row r="155" spans="1:8" x14ac:dyDescent="0.2">
      <c r="D155" s="3">
        <f>7*12</f>
        <v>84</v>
      </c>
      <c r="E155" s="3">
        <f>2*5</f>
        <v>10</v>
      </c>
      <c r="F155" s="3">
        <f>4*12</f>
        <v>48</v>
      </c>
      <c r="G155" s="3">
        <f>5*12</f>
        <v>60</v>
      </c>
      <c r="H155" s="1" t="s">
        <v>8</v>
      </c>
    </row>
    <row r="156" spans="1:8" x14ac:dyDescent="0.2">
      <c r="D156" s="3">
        <f>((1+4%)^(1/12)-1)*100</f>
        <v>0.32737397821989145</v>
      </c>
      <c r="E156" s="3">
        <f>((1+7%)^(1/2)-1)*100</f>
        <v>3.4408043278860045</v>
      </c>
      <c r="F156" s="3">
        <f>((1+9%)^(1/12)-1)*100</f>
        <v>0.72073233161367156</v>
      </c>
      <c r="G156" s="3">
        <f>((1+10%)^(1/12)-1)*100</f>
        <v>0.79741404289037643</v>
      </c>
      <c r="H156" s="1" t="s">
        <v>9</v>
      </c>
    </row>
    <row r="157" spans="1:8" x14ac:dyDescent="0.2">
      <c r="D157" s="4">
        <f>-E159</f>
        <v>-861309.15746225719</v>
      </c>
      <c r="E157" s="4">
        <f>-F159</f>
        <v>-555711.20303425007</v>
      </c>
      <c r="F157" s="4">
        <f>-G159</f>
        <v>-191403.07517882893</v>
      </c>
      <c r="G157" s="4">
        <v>0</v>
      </c>
      <c r="H157" s="1" t="s">
        <v>10</v>
      </c>
    </row>
    <row r="158" spans="1:8" x14ac:dyDescent="0.2">
      <c r="D158" s="5">
        <f>PMT(D156/100,D155,D157,D159)</f>
        <v>11744.736630250558</v>
      </c>
      <c r="E158" s="4">
        <v>-7000</v>
      </c>
      <c r="F158" s="4">
        <v>-5000</v>
      </c>
      <c r="G158" s="4">
        <v>-2500</v>
      </c>
      <c r="H158" s="1" t="s">
        <v>11</v>
      </c>
    </row>
    <row r="159" spans="1:8" x14ac:dyDescent="0.2">
      <c r="D159" s="4">
        <v>0</v>
      </c>
      <c r="E159" s="4">
        <f t="shared" ref="E159:F159" si="1">FV(E156/100,E155,E158,E157)</f>
        <v>861309.15746225719</v>
      </c>
      <c r="F159" s="4">
        <f t="shared" si="1"/>
        <v>555711.20303425007</v>
      </c>
      <c r="G159" s="4">
        <f>FV(G156/100,G155,G158,G157)</f>
        <v>191403.07517882893</v>
      </c>
      <c r="H159" s="1" t="s">
        <v>12</v>
      </c>
    </row>
    <row r="161" spans="1:8" x14ac:dyDescent="0.2">
      <c r="A161" s="2" t="s">
        <v>78</v>
      </c>
      <c r="B161" s="2"/>
      <c r="C161" s="2"/>
      <c r="D161" s="2"/>
      <c r="E161" s="2"/>
      <c r="F161" s="2"/>
      <c r="G161" s="2"/>
      <c r="H161" s="2"/>
    </row>
    <row r="162" spans="1:8" x14ac:dyDescent="0.2">
      <c r="A162" s="1" t="s">
        <v>79</v>
      </c>
    </row>
    <row r="163" spans="1:8" x14ac:dyDescent="0.2">
      <c r="A163" s="1" t="s">
        <v>80</v>
      </c>
    </row>
    <row r="164" spans="1:8" x14ac:dyDescent="0.2">
      <c r="A164" s="1" t="s">
        <v>81</v>
      </c>
    </row>
    <row r="165" spans="1:8" x14ac:dyDescent="0.2">
      <c r="A165" s="1" t="s">
        <v>82</v>
      </c>
    </row>
    <row r="166" spans="1:8" x14ac:dyDescent="0.2">
      <c r="A166" s="1" t="s">
        <v>83</v>
      </c>
    </row>
    <row r="168" spans="1:8" x14ac:dyDescent="0.2">
      <c r="A168" s="1" t="s">
        <v>84</v>
      </c>
    </row>
    <row r="170" spans="1:8" x14ac:dyDescent="0.2">
      <c r="A170" s="1" t="s">
        <v>85</v>
      </c>
      <c r="B170" s="1" t="s">
        <v>86</v>
      </c>
    </row>
    <row r="171" spans="1:8" x14ac:dyDescent="0.2">
      <c r="A171" s="1" t="s">
        <v>87</v>
      </c>
      <c r="B171" s="11">
        <f>(1+8%/4)^4-1</f>
        <v>8.2432159999999977E-2</v>
      </c>
    </row>
    <row r="172" spans="1:8" x14ac:dyDescent="0.2">
      <c r="A172" s="1" t="s">
        <v>88</v>
      </c>
      <c r="B172" s="11">
        <f>(1+4%*2)^1-1</f>
        <v>8.0000000000000071E-2</v>
      </c>
      <c r="D172" s="1" t="s">
        <v>91</v>
      </c>
    </row>
    <row r="173" spans="1:8" x14ac:dyDescent="0.2">
      <c r="A173" s="1" t="s">
        <v>89</v>
      </c>
      <c r="B173" s="11">
        <f>(1+5%/2)^4-1</f>
        <v>0.10381289062499977</v>
      </c>
    </row>
    <row r="174" spans="1:8" x14ac:dyDescent="0.2">
      <c r="A174" s="1" t="s">
        <v>90</v>
      </c>
      <c r="B174" s="11">
        <f>(1+9%)^1-1</f>
        <v>9.000000000000008E-2</v>
      </c>
    </row>
    <row r="176" spans="1:8" x14ac:dyDescent="0.2">
      <c r="A176" s="1" t="s">
        <v>92</v>
      </c>
    </row>
    <row r="178" spans="1:8" x14ac:dyDescent="0.2">
      <c r="A178" s="2" t="s">
        <v>93</v>
      </c>
      <c r="B178" s="2"/>
      <c r="C178" s="2"/>
      <c r="D178" s="2"/>
      <c r="E178" s="2"/>
      <c r="F178" s="2"/>
      <c r="G178" s="2"/>
      <c r="H178" s="2"/>
    </row>
    <row r="179" spans="1:8" x14ac:dyDescent="0.2">
      <c r="A179" s="1" t="s">
        <v>94</v>
      </c>
    </row>
    <row r="180" spans="1:8" x14ac:dyDescent="0.2">
      <c r="A180" s="1" t="s">
        <v>95</v>
      </c>
    </row>
    <row r="181" spans="1:8" x14ac:dyDescent="0.2">
      <c r="A181" s="1" t="s">
        <v>96</v>
      </c>
    </row>
    <row r="182" spans="1:8" x14ac:dyDescent="0.2">
      <c r="A182" s="1" t="s">
        <v>97</v>
      </c>
    </row>
    <row r="183" spans="1:8" x14ac:dyDescent="0.2">
      <c r="A183" s="1" t="s">
        <v>98</v>
      </c>
    </row>
    <row r="184" spans="1:8" x14ac:dyDescent="0.2">
      <c r="A184" s="1" t="s">
        <v>99</v>
      </c>
      <c r="F184" s="14" t="s">
        <v>122</v>
      </c>
      <c r="G184" s="14"/>
      <c r="H184" s="14"/>
    </row>
    <row r="185" spans="1:8" x14ac:dyDescent="0.2">
      <c r="A185" s="1" t="s">
        <v>100</v>
      </c>
      <c r="F185" s="14" t="s">
        <v>122</v>
      </c>
      <c r="G185" s="14"/>
      <c r="H185" s="14"/>
    </row>
    <row r="187" spans="1:8" x14ac:dyDescent="0.2">
      <c r="A187" s="1" t="s">
        <v>101</v>
      </c>
    </row>
    <row r="189" spans="1:8" x14ac:dyDescent="0.2">
      <c r="A189" s="1" t="s">
        <v>102</v>
      </c>
      <c r="B189" s="12">
        <f>-PMT(1.06^(1/12)-1,120,500000)</f>
        <v>5511.2013070636167</v>
      </c>
    </row>
    <row r="190" spans="1:8" x14ac:dyDescent="0.2">
      <c r="A190" s="1" t="s">
        <v>103</v>
      </c>
      <c r="B190" s="12">
        <f>PV(1.06^(1/12)-1,3*12,-B189)</f>
        <v>181588.33793602174</v>
      </c>
    </row>
    <row r="191" spans="1:8" x14ac:dyDescent="0.2">
      <c r="A191" s="1" t="s">
        <v>104</v>
      </c>
      <c r="B191" s="12">
        <f>B189*120-500000</f>
        <v>161344.156847634</v>
      </c>
    </row>
    <row r="193" spans="1:8" x14ac:dyDescent="0.2">
      <c r="A193" s="2" t="s">
        <v>105</v>
      </c>
      <c r="B193" s="2"/>
      <c r="C193" s="2"/>
      <c r="D193" s="2"/>
      <c r="E193" s="2"/>
      <c r="F193" s="15" t="s">
        <v>123</v>
      </c>
      <c r="G193" s="2"/>
      <c r="H193" s="2"/>
    </row>
    <row r="194" spans="1:8" x14ac:dyDescent="0.2">
      <c r="A194" s="1" t="s">
        <v>106</v>
      </c>
    </row>
    <row r="195" spans="1:8" x14ac:dyDescent="0.2">
      <c r="A195" s="1" t="s">
        <v>109</v>
      </c>
    </row>
    <row r="196" spans="1:8" x14ac:dyDescent="0.2">
      <c r="A196" s="1" t="s">
        <v>107</v>
      </c>
    </row>
    <row r="197" spans="1:8" x14ac:dyDescent="0.2">
      <c r="A197" s="1" t="s">
        <v>108</v>
      </c>
    </row>
    <row r="199" spans="1:8" x14ac:dyDescent="0.2">
      <c r="A199" s="1" t="s">
        <v>101</v>
      </c>
    </row>
    <row r="200" spans="1:8" x14ac:dyDescent="0.2">
      <c r="C200" s="12">
        <f>500000/PV(1.1^(1/12)-1,10*12,-1)*PV(1.1^(1/12)-1,4*12,-1)*117.3/110</f>
        <v>275058.37156650418</v>
      </c>
    </row>
    <row r="202" spans="1:8" x14ac:dyDescent="0.2">
      <c r="A202" s="2" t="s">
        <v>110</v>
      </c>
      <c r="B202" s="2"/>
      <c r="C202" s="2"/>
      <c r="D202" s="2"/>
      <c r="E202" s="2"/>
      <c r="F202" s="2"/>
      <c r="G202" s="2"/>
      <c r="H202" s="2"/>
    </row>
    <row r="203" spans="1:8" x14ac:dyDescent="0.2">
      <c r="A203" s="1" t="s">
        <v>111</v>
      </c>
    </row>
    <row r="204" spans="1:8" x14ac:dyDescent="0.2">
      <c r="A204" s="1" t="s">
        <v>112</v>
      </c>
    </row>
    <row r="205" spans="1:8" x14ac:dyDescent="0.2">
      <c r="A205" s="1" t="s">
        <v>113</v>
      </c>
    </row>
    <row r="206" spans="1:8" x14ac:dyDescent="0.2">
      <c r="A206" s="1" t="s">
        <v>114</v>
      </c>
    </row>
    <row r="207" spans="1:8" x14ac:dyDescent="0.2">
      <c r="A207" s="1" t="s">
        <v>115</v>
      </c>
    </row>
    <row r="208" spans="1:8" x14ac:dyDescent="0.2">
      <c r="A208" s="1" t="s">
        <v>97</v>
      </c>
    </row>
    <row r="209" spans="1:8" x14ac:dyDescent="0.2">
      <c r="A209" s="1" t="s">
        <v>116</v>
      </c>
    </row>
    <row r="210" spans="1:8" x14ac:dyDescent="0.2">
      <c r="A210" s="1" t="s">
        <v>117</v>
      </c>
    </row>
    <row r="212" spans="1:8" x14ac:dyDescent="0.2">
      <c r="A212" s="1" t="s">
        <v>101</v>
      </c>
    </row>
    <row r="214" spans="1:8" x14ac:dyDescent="0.2">
      <c r="B214" s="1">
        <v>0</v>
      </c>
      <c r="C214" s="13">
        <v>-500000</v>
      </c>
      <c r="H214" s="1">
        <f>70000*0.08</f>
        <v>5600</v>
      </c>
    </row>
    <row r="215" spans="1:8" x14ac:dyDescent="0.2">
      <c r="B215" s="1">
        <f>1</f>
        <v>1</v>
      </c>
      <c r="C215" s="12">
        <v>100000</v>
      </c>
    </row>
    <row r="216" spans="1:8" x14ac:dyDescent="0.2">
      <c r="B216" s="1">
        <f>B215+1</f>
        <v>2</v>
      </c>
      <c r="C216" s="12">
        <v>100000</v>
      </c>
    </row>
    <row r="217" spans="1:8" x14ac:dyDescent="0.2">
      <c r="B217" s="1">
        <f t="shared" ref="B217:B222" si="2">B216+1</f>
        <v>3</v>
      </c>
      <c r="C217" s="12">
        <v>100000</v>
      </c>
    </row>
    <row r="218" spans="1:8" x14ac:dyDescent="0.2">
      <c r="B218" s="1">
        <f t="shared" si="2"/>
        <v>4</v>
      </c>
      <c r="C218" s="12">
        <v>150000</v>
      </c>
      <c r="G218" s="1">
        <f>70000+150000-77000-55000-4000</f>
        <v>84000</v>
      </c>
      <c r="H218" s="1">
        <f>G219-H214+4000</f>
        <v>5960</v>
      </c>
    </row>
    <row r="219" spans="1:8" x14ac:dyDescent="0.2">
      <c r="B219" s="1">
        <f t="shared" si="2"/>
        <v>5</v>
      </c>
      <c r="C219" s="12">
        <v>150000</v>
      </c>
      <c r="G219" s="1">
        <f>G218*0.09</f>
        <v>7560</v>
      </c>
    </row>
    <row r="220" spans="1:8" x14ac:dyDescent="0.2">
      <c r="B220" s="1">
        <f t="shared" si="2"/>
        <v>6</v>
      </c>
      <c r="C220" s="12">
        <v>150000</v>
      </c>
      <c r="G220" s="1">
        <f>G218-G219</f>
        <v>76440</v>
      </c>
    </row>
    <row r="221" spans="1:8" x14ac:dyDescent="0.2">
      <c r="B221" s="1">
        <f t="shared" si="2"/>
        <v>7</v>
      </c>
      <c r="C221" s="12">
        <v>150000</v>
      </c>
    </row>
    <row r="222" spans="1:8" x14ac:dyDescent="0.2">
      <c r="B222" s="1">
        <f t="shared" si="2"/>
        <v>8</v>
      </c>
      <c r="C222" s="12">
        <v>150000</v>
      </c>
    </row>
    <row r="224" spans="1:8" x14ac:dyDescent="0.2">
      <c r="C224" s="6">
        <v>0.1</v>
      </c>
    </row>
    <row r="226" spans="3:5" x14ac:dyDescent="0.2">
      <c r="C226" s="12">
        <f>NPV(C224,C215:C222)+C214</f>
        <v>175896.33013618854</v>
      </c>
      <c r="D226" s="1" t="s">
        <v>118</v>
      </c>
      <c r="E226" s="1" t="s">
        <v>120</v>
      </c>
    </row>
    <row r="227" spans="3:5" x14ac:dyDescent="0.2">
      <c r="C227" s="11">
        <f>IRR(C214:C222)</f>
        <v>0.18170527286402227</v>
      </c>
      <c r="D227" s="1" t="s">
        <v>119</v>
      </c>
      <c r="E227" s="1" t="s">
        <v>121</v>
      </c>
    </row>
    <row r="228" spans="3:5" x14ac:dyDescent="0.2">
      <c r="C228" s="12"/>
    </row>
    <row r="229" spans="3:5" x14ac:dyDescent="0.2">
      <c r="C229" s="12"/>
    </row>
    <row r="230" spans="3:5" x14ac:dyDescent="0.2">
      <c r="C230" s="12"/>
    </row>
    <row r="231" spans="3:5" x14ac:dyDescent="0.2">
      <c r="C231" s="12"/>
    </row>
    <row r="232" spans="3:5" x14ac:dyDescent="0.2">
      <c r="C232" s="12"/>
    </row>
    <row r="233" spans="3:5" x14ac:dyDescent="0.2">
      <c r="C233" s="12"/>
    </row>
    <row r="234" spans="3:5" x14ac:dyDescent="0.2">
      <c r="C23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Shay Tsaban</cp:lastModifiedBy>
  <dcterms:created xsi:type="dcterms:W3CDTF">2025-03-22T16:38:35Z</dcterms:created>
  <dcterms:modified xsi:type="dcterms:W3CDTF">2025-10-23T11:28:09Z</dcterms:modified>
</cp:coreProperties>
</file>