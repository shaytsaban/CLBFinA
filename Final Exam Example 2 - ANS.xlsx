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Principles of Finance/2025C/"/>
    </mc:Choice>
  </mc:AlternateContent>
  <xr:revisionPtr revIDLastSave="0" documentId="8_{5177B940-9E94-CE4C-BE4D-3005F4A16553}" xr6:coauthVersionLast="47" xr6:coauthVersionMax="47" xr10:uidLastSave="{00000000-0000-0000-0000-000000000000}"/>
  <bookViews>
    <workbookView xWindow="25500" yWindow="5860" windowWidth="18460" windowHeight="21560" xr2:uid="{2BF680D9-D16D-454B-B8DC-CB2B26AEF5DD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53" i="1" l="1"/>
  <c r="A53" i="1"/>
  <c r="C82" i="1"/>
  <c r="C156" i="1"/>
  <c r="B21" i="1" s="1"/>
  <c r="C155" i="1"/>
  <c r="B20" i="1" s="1"/>
  <c r="C135" i="1"/>
  <c r="C136" i="1"/>
  <c r="C129" i="1"/>
  <c r="C131" i="1" s="1"/>
  <c r="C138" i="1" s="1"/>
  <c r="C128" i="1"/>
  <c r="C118" i="1"/>
  <c r="C123" i="1" s="1"/>
  <c r="B18" i="1" s="1"/>
  <c r="C117" i="1"/>
  <c r="B113" i="1"/>
  <c r="B112" i="1"/>
  <c r="B111" i="1"/>
  <c r="B110" i="1"/>
  <c r="D102" i="1"/>
  <c r="D101" i="1"/>
  <c r="E102" i="1"/>
  <c r="E101" i="1"/>
  <c r="F101" i="1"/>
  <c r="F102" i="1"/>
  <c r="G102" i="1"/>
  <c r="G105" i="1" s="1"/>
  <c r="F103" i="1" s="1"/>
  <c r="G91" i="1"/>
  <c r="G96" i="1" s="1"/>
  <c r="B14" i="1" s="1"/>
  <c r="C81" i="1"/>
  <c r="C84" i="1"/>
  <c r="D82" i="1"/>
  <c r="D81" i="1"/>
  <c r="G82" i="1"/>
  <c r="G83" i="1" s="1"/>
  <c r="F85" i="1" s="1"/>
  <c r="F83" i="1" s="1"/>
  <c r="G72" i="1"/>
  <c r="G71" i="1"/>
  <c r="E72" i="1"/>
  <c r="E71" i="1"/>
  <c r="D72" i="1"/>
  <c r="C72" i="1"/>
  <c r="F62" i="1"/>
  <c r="F61" i="1"/>
  <c r="G61" i="1"/>
  <c r="B53" i="1"/>
  <c r="E53" i="1"/>
  <c r="F53" i="1"/>
  <c r="F52" i="1"/>
  <c r="G56" i="1"/>
  <c r="F54" i="1" s="1"/>
  <c r="F42" i="1"/>
  <c r="G43" i="1"/>
  <c r="G46" i="1" s="1"/>
  <c r="F44" i="1" s="1"/>
  <c r="F33" i="1"/>
  <c r="G34" i="1"/>
  <c r="G37" i="1" s="1"/>
  <c r="C137" i="1" l="1"/>
  <c r="C141" i="1" s="1"/>
  <c r="B19" i="1" s="1"/>
  <c r="C120" i="1"/>
  <c r="B17" i="1" s="1"/>
  <c r="G63" i="1"/>
  <c r="F65" i="1" s="1"/>
  <c r="F63" i="1" s="1"/>
  <c r="B11" i="1" s="1"/>
  <c r="F105" i="1"/>
  <c r="E103" i="1" s="1"/>
  <c r="E105" i="1" s="1"/>
  <c r="D103" i="1" s="1"/>
  <c r="D104" i="1" s="1"/>
  <c r="B15" i="1" s="1"/>
  <c r="F35" i="1"/>
  <c r="F37" i="1" s="1"/>
  <c r="B9" i="1" s="1"/>
  <c r="E85" i="1"/>
  <c r="E83" i="1" s="1"/>
  <c r="D85" i="1" s="1"/>
  <c r="D83" i="1" s="1"/>
  <c r="C85" i="1" s="1"/>
  <c r="C83" i="1" s="1"/>
  <c r="B13" i="1" s="1"/>
  <c r="G73" i="1"/>
  <c r="F75" i="1" s="1"/>
  <c r="F73" i="1" s="1"/>
  <c r="E75" i="1" s="1"/>
  <c r="E73" i="1" s="1"/>
  <c r="D75" i="1" s="1"/>
  <c r="D73" i="1" s="1"/>
  <c r="C75" i="1" s="1"/>
  <c r="C73" i="1" s="1"/>
  <c r="B12" i="1" s="1"/>
  <c r="F56" i="1"/>
  <c r="E54" i="1" s="1"/>
  <c r="E56" i="1" s="1"/>
  <c r="D54" i="1" s="1"/>
  <c r="D56" i="1" s="1"/>
  <c r="C54" i="1" s="1"/>
  <c r="C56" i="1" s="1"/>
  <c r="B54" i="1" s="1"/>
  <c r="F46" i="1"/>
  <c r="C9" i="1" s="1"/>
  <c r="B56" i="1" l="1"/>
  <c r="A54" i="1" s="1"/>
  <c r="A56" i="1" l="1"/>
  <c r="B10" i="1" s="1"/>
</calcChain>
</file>

<file path=xl/sharedStrings.xml><?xml version="1.0" encoding="utf-8"?>
<sst xmlns="http://schemas.openxmlformats.org/spreadsheetml/2006/main" count="174" uniqueCount="78">
  <si>
    <t>המרכז האקדמי למשפט ועסקים</t>
  </si>
  <si>
    <t>יסודות המימון א</t>
  </si>
  <si>
    <t>מיום 9/2/2025</t>
  </si>
  <si>
    <t>מרצה: ד״ר שי צבאן</t>
  </si>
  <si>
    <t>שאלה 1</t>
  </si>
  <si>
    <t>פתרון בחינת הגמר, מועד א</t>
  </si>
  <si>
    <t>Set</t>
  </si>
  <si>
    <t>n</t>
  </si>
  <si>
    <t>I%</t>
  </si>
  <si>
    <t>PV</t>
  </si>
  <si>
    <t>PMT</t>
  </si>
  <si>
    <t>FV</t>
  </si>
  <si>
    <t>End</t>
  </si>
  <si>
    <t>שנה 1</t>
  </si>
  <si>
    <t>שנים 2-8</t>
  </si>
  <si>
    <t>התקבלה גרסת הפתרון הזו - בהנחה של-8 שנים:</t>
  </si>
  <si>
    <t>וגם גרסת הפתרון הזו - בהנחה של-5 שנים:</t>
  </si>
  <si>
    <t>שנים 2-5</t>
  </si>
  <si>
    <t>ריכוז תשובות סופיות:</t>
  </si>
  <si>
    <t>שאלה</t>
  </si>
  <si>
    <t>תשובה סופית</t>
  </si>
  <si>
    <t>תשובה נוספת</t>
  </si>
  <si>
    <t>שאלה 2</t>
  </si>
  <si>
    <t>שנים 2,3</t>
  </si>
  <si>
    <t>שנה 4</t>
  </si>
  <si>
    <t>שנה 5</t>
  </si>
  <si>
    <t>שנה 6</t>
  </si>
  <si>
    <t>שנים 6,7</t>
  </si>
  <si>
    <t>שנים 8,9</t>
  </si>
  <si>
    <t>שנה 10</t>
  </si>
  <si>
    <t>שאלה 3</t>
  </si>
  <si>
    <t>שנים 1, 2</t>
  </si>
  <si>
    <t>שנים 3, 4, 5</t>
  </si>
  <si>
    <t>שאלה 4</t>
  </si>
  <si>
    <t>שנה 2</t>
  </si>
  <si>
    <t>שנים 7-11</t>
  </si>
  <si>
    <t>שאלה 5</t>
  </si>
  <si>
    <t>שנה 15</t>
  </si>
  <si>
    <t>שנים 11-14</t>
  </si>
  <si>
    <t>שנים 6-10</t>
  </si>
  <si>
    <t>שנים 3-5</t>
  </si>
  <si>
    <t>שנים 1-2</t>
  </si>
  <si>
    <t>שאלה 6</t>
  </si>
  <si>
    <t>החילוץ</t>
  </si>
  <si>
    <t>ריבית חודשית</t>
  </si>
  <si>
    <t>ריבית שנתית</t>
  </si>
  <si>
    <t>שאלה 7</t>
  </si>
  <si>
    <t>שנים 1-3</t>
  </si>
  <si>
    <t>שנים 4-7</t>
  </si>
  <si>
    <t>שנים 8-12</t>
  </si>
  <si>
    <t>שנים 13-16</t>
  </si>
  <si>
    <t>שאלה 8</t>
  </si>
  <si>
    <t>מסלול</t>
  </si>
  <si>
    <t>ריבית אפקטיבית</t>
  </si>
  <si>
    <t>א</t>
  </si>
  <si>
    <t>ב</t>
  </si>
  <si>
    <t>ג</t>
  </si>
  <si>
    <t>ד</t>
  </si>
  <si>
    <t>א: 10.38%</t>
  </si>
  <si>
    <t>שאלה 9</t>
  </si>
  <si>
    <t>המועדפת</t>
  </si>
  <si>
    <t>9א</t>
  </si>
  <si>
    <t>9ב</t>
  </si>
  <si>
    <t>שאלה 10</t>
  </si>
  <si>
    <t>חישוב תשלום תקופתי:</t>
  </si>
  <si>
    <t>חישוב יתרה:</t>
  </si>
  <si>
    <t>הצמדה ותשובה סופית:</t>
  </si>
  <si>
    <t>שאלה 11</t>
  </si>
  <si>
    <t>זמן</t>
  </si>
  <si>
    <t>תזרים</t>
  </si>
  <si>
    <t xml:space="preserve">NPV = </t>
  </si>
  <si>
    <t>כדאי, NPV&gt;0</t>
  </si>
  <si>
    <t>11א</t>
  </si>
  <si>
    <t>11ב</t>
  </si>
  <si>
    <t>כדאי, IRR&gt;k</t>
  </si>
  <si>
    <t xml:space="preserve">IRR = </t>
  </si>
  <si>
    <t>הערה: אם שאלתי מהו הערך הנוכחי של ערכים חיוביים, התשובה חייבת להיות חיובית.</t>
  </si>
  <si>
    <t>אין להעתיק אותה טכנית בסימן שלילי. זה לא נכון כתשובה סופית.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</si>
</sst>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David"/>
      <family val="2"/>
      <charset val="177"/>
    </font>
    <font>
      <sz val="12"/>
      <color rgb="FFFF000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/>
    <xf numFmtId="3" fontId="1" fillId="2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0" fontId="1" fillId="2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4" borderId="0" xfId="0" applyNumberFormat="1" applyFont="1" applyFill="1" applyAlignment="1">
      <alignment horizontal="center"/>
    </xf>
    <xf numFmtId="37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C7B4-23B1-0C49-89B1-6AE9D06DE5F7}">
  <dimension ref="A1:H156"/>
  <sheetViews>
    <sheetView rightToLeft="1" tabSelected="1" zoomScale="95" workbookViewId="0">
      <selection activeCell="B66" sqref="B66"/>
    </sheetView>
  </sheetViews>
  <sheetFormatPr baseColWidth="10" defaultRowHeight="16" x14ac:dyDescent="0.2"/>
  <cols>
    <col min="1" max="2" width="10.83203125" style="1"/>
    <col min="3" max="3" width="11.6640625" style="1" customWidth="1"/>
    <col min="4" max="5" width="10.83203125" style="1"/>
    <col min="6" max="6" width="11.1640625" style="1" bestFit="1" customWidth="1"/>
    <col min="7" max="16384" width="10.83203125" style="1"/>
  </cols>
  <sheetData>
    <row r="1" spans="1:3" x14ac:dyDescent="0.2">
      <c r="A1" s="1" t="s">
        <v>0</v>
      </c>
    </row>
    <row r="2" spans="1:3" x14ac:dyDescent="0.2">
      <c r="A2" s="1" t="s">
        <v>1</v>
      </c>
    </row>
    <row r="3" spans="1:3" x14ac:dyDescent="0.2">
      <c r="A3" s="1" t="s">
        <v>5</v>
      </c>
    </row>
    <row r="4" spans="1:3" x14ac:dyDescent="0.2">
      <c r="A4" s="1" t="s">
        <v>2</v>
      </c>
    </row>
    <row r="5" spans="1:3" x14ac:dyDescent="0.2">
      <c r="A5" s="1" t="s">
        <v>3</v>
      </c>
    </row>
    <row r="7" spans="1:3" x14ac:dyDescent="0.2">
      <c r="A7" s="1" t="s">
        <v>18</v>
      </c>
    </row>
    <row r="8" spans="1:3" x14ac:dyDescent="0.2">
      <c r="A8" s="7" t="s">
        <v>19</v>
      </c>
      <c r="B8" s="7" t="s">
        <v>20</v>
      </c>
      <c r="C8" s="7" t="s">
        <v>21</v>
      </c>
    </row>
    <row r="9" spans="1:3" x14ac:dyDescent="0.2">
      <c r="A9" s="1">
        <v>1</v>
      </c>
      <c r="B9" s="10">
        <f>F37</f>
        <v>143947.09851750656</v>
      </c>
      <c r="C9" s="10">
        <f>F46</f>
        <v>76259.41844332582</v>
      </c>
    </row>
    <row r="10" spans="1:3" x14ac:dyDescent="0.2">
      <c r="A10" s="1">
        <v>2</v>
      </c>
      <c r="B10" s="10">
        <f>A56</f>
        <v>805586.07752693701</v>
      </c>
      <c r="C10" s="10"/>
    </row>
    <row r="11" spans="1:3" x14ac:dyDescent="0.2">
      <c r="A11" s="1">
        <v>3</v>
      </c>
      <c r="B11" s="10">
        <f>-F63</f>
        <v>160281.83505756283</v>
      </c>
      <c r="C11" s="10"/>
    </row>
    <row r="12" spans="1:3" x14ac:dyDescent="0.2">
      <c r="A12" s="1">
        <v>4</v>
      </c>
      <c r="B12" s="10">
        <f>-C73</f>
        <v>452104.721739773</v>
      </c>
    </row>
    <row r="13" spans="1:3" x14ac:dyDescent="0.2">
      <c r="A13" s="1">
        <v>5</v>
      </c>
      <c r="B13" s="10">
        <f>-C83</f>
        <v>451587.15759720909</v>
      </c>
    </row>
    <row r="14" spans="1:3" x14ac:dyDescent="0.2">
      <c r="A14" s="1">
        <v>6</v>
      </c>
      <c r="B14" s="2">
        <f>G96</f>
        <v>3.1157231793209395E-2</v>
      </c>
    </row>
    <row r="15" spans="1:3" x14ac:dyDescent="0.2">
      <c r="A15" s="1">
        <v>7</v>
      </c>
      <c r="B15" s="10">
        <f>D104</f>
        <v>12476.34525512885</v>
      </c>
    </row>
    <row r="16" spans="1:3" x14ac:dyDescent="0.2">
      <c r="A16" s="1">
        <v>8</v>
      </c>
      <c r="B16" s="1" t="s">
        <v>58</v>
      </c>
    </row>
    <row r="17" spans="1:8" x14ac:dyDescent="0.2">
      <c r="A17" s="1" t="s">
        <v>61</v>
      </c>
      <c r="B17" s="10">
        <f>-C120</f>
        <v>16114.443699277381</v>
      </c>
    </row>
    <row r="18" spans="1:8" x14ac:dyDescent="0.2">
      <c r="A18" s="1" t="s">
        <v>62</v>
      </c>
      <c r="B18" s="10">
        <f>C123</f>
        <v>18394.770353202701</v>
      </c>
    </row>
    <row r="19" spans="1:8" x14ac:dyDescent="0.2">
      <c r="A19" s="1">
        <v>10</v>
      </c>
      <c r="B19" s="10">
        <f>C141</f>
        <v>291682.13473051152</v>
      </c>
    </row>
    <row r="20" spans="1:8" x14ac:dyDescent="0.2">
      <c r="A20" s="1" t="s">
        <v>72</v>
      </c>
      <c r="B20" s="16">
        <f>C155</f>
        <v>114867.94568590773</v>
      </c>
    </row>
    <row r="21" spans="1:8" x14ac:dyDescent="0.2">
      <c r="A21" s="1" t="s">
        <v>73</v>
      </c>
      <c r="B21" s="17">
        <f>C156</f>
        <v>0.23990625482644745</v>
      </c>
    </row>
    <row r="23" spans="1:8" x14ac:dyDescent="0.2">
      <c r="A23" s="1" t="s">
        <v>76</v>
      </c>
    </row>
    <row r="24" spans="1:8" x14ac:dyDescent="0.2">
      <c r="A24" s="1" t="s">
        <v>77</v>
      </c>
    </row>
    <row r="30" spans="1:8" x14ac:dyDescent="0.2">
      <c r="A30" s="1" t="s">
        <v>4</v>
      </c>
    </row>
    <row r="31" spans="1:8" x14ac:dyDescent="0.2">
      <c r="A31" s="1" t="s">
        <v>15</v>
      </c>
      <c r="F31" s="1" t="s">
        <v>14</v>
      </c>
      <c r="G31" s="1" t="s">
        <v>13</v>
      </c>
    </row>
    <row r="32" spans="1:8" x14ac:dyDescent="0.2">
      <c r="F32" s="3" t="s">
        <v>12</v>
      </c>
      <c r="G32" s="3" t="s">
        <v>12</v>
      </c>
      <c r="H32" s="1" t="s">
        <v>6</v>
      </c>
    </row>
    <row r="33" spans="1:8" x14ac:dyDescent="0.2">
      <c r="F33" s="3">
        <f>4*7</f>
        <v>28</v>
      </c>
      <c r="G33" s="3">
        <v>4</v>
      </c>
      <c r="H33" s="1" t="s">
        <v>7</v>
      </c>
    </row>
    <row r="34" spans="1:8" x14ac:dyDescent="0.2">
      <c r="F34" s="4">
        <v>2.5000000000000001E-2</v>
      </c>
      <c r="G34" s="4">
        <f>(1+4.60401%)^0.25-1</f>
        <v>1.1316477681016845E-2</v>
      </c>
      <c r="H34" s="1" t="s">
        <v>8</v>
      </c>
    </row>
    <row r="35" spans="1:8" x14ac:dyDescent="0.2">
      <c r="F35" s="5">
        <f>-G37</f>
        <v>-12205.237697918526</v>
      </c>
      <c r="G35" s="3">
        <v>0</v>
      </c>
      <c r="H35" s="1" t="s">
        <v>9</v>
      </c>
    </row>
    <row r="36" spans="1:8" x14ac:dyDescent="0.2">
      <c r="F36" s="5">
        <v>-3000</v>
      </c>
      <c r="G36" s="5">
        <v>-3000</v>
      </c>
      <c r="H36" s="1" t="s">
        <v>10</v>
      </c>
    </row>
    <row r="37" spans="1:8" x14ac:dyDescent="0.2">
      <c r="F37" s="6">
        <f>FV(F34,F33,F36,F35)</f>
        <v>143947.09851750656</v>
      </c>
      <c r="G37" s="5">
        <f>FV(G34,G33,G36,G35)</f>
        <v>12205.237697918526</v>
      </c>
      <c r="H37" s="1" t="s">
        <v>11</v>
      </c>
    </row>
    <row r="39" spans="1:8" x14ac:dyDescent="0.2">
      <c r="A39" s="1" t="s">
        <v>16</v>
      </c>
    </row>
    <row r="40" spans="1:8" x14ac:dyDescent="0.2">
      <c r="F40" s="1" t="s">
        <v>17</v>
      </c>
      <c r="G40" s="1" t="s">
        <v>13</v>
      </c>
    </row>
    <row r="41" spans="1:8" x14ac:dyDescent="0.2">
      <c r="F41" s="3" t="s">
        <v>12</v>
      </c>
      <c r="G41" s="3" t="s">
        <v>12</v>
      </c>
      <c r="H41" s="1" t="s">
        <v>6</v>
      </c>
    </row>
    <row r="42" spans="1:8" x14ac:dyDescent="0.2">
      <c r="F42" s="3">
        <f>4*4</f>
        <v>16</v>
      </c>
      <c r="G42" s="3">
        <v>4</v>
      </c>
      <c r="H42" s="1" t="s">
        <v>7</v>
      </c>
    </row>
    <row r="43" spans="1:8" x14ac:dyDescent="0.2">
      <c r="F43" s="4">
        <v>2.5000000000000001E-2</v>
      </c>
      <c r="G43" s="4">
        <f>(1+4.60401%)^0.25-1</f>
        <v>1.1316477681016845E-2</v>
      </c>
      <c r="H43" s="1" t="s">
        <v>8</v>
      </c>
    </row>
    <row r="44" spans="1:8" x14ac:dyDescent="0.2">
      <c r="F44" s="5">
        <f>-G46</f>
        <v>-12205.237697918526</v>
      </c>
      <c r="G44" s="3">
        <v>0</v>
      </c>
      <c r="H44" s="1" t="s">
        <v>9</v>
      </c>
    </row>
    <row r="45" spans="1:8" x14ac:dyDescent="0.2">
      <c r="F45" s="5">
        <v>-3000</v>
      </c>
      <c r="G45" s="5">
        <v>-3000</v>
      </c>
      <c r="H45" s="1" t="s">
        <v>10</v>
      </c>
    </row>
    <row r="46" spans="1:8" x14ac:dyDescent="0.2">
      <c r="F46" s="6">
        <f>FV(F43,F42,F45,F44)</f>
        <v>76259.41844332582</v>
      </c>
      <c r="G46" s="5">
        <f>FV(G43,G42,G45,G44)</f>
        <v>12205.237697918526</v>
      </c>
      <c r="H46" s="1" t="s">
        <v>11</v>
      </c>
    </row>
    <row r="48" spans="1:8" x14ac:dyDescent="0.2">
      <c r="A48" s="1" t="s">
        <v>22</v>
      </c>
    </row>
    <row r="50" spans="1:8" x14ac:dyDescent="0.2">
      <c r="A50" s="8" t="s">
        <v>29</v>
      </c>
      <c r="B50" s="8" t="s">
        <v>28</v>
      </c>
      <c r="C50" s="8" t="s">
        <v>27</v>
      </c>
      <c r="D50" s="8" t="s">
        <v>25</v>
      </c>
      <c r="E50" s="8" t="s">
        <v>24</v>
      </c>
      <c r="F50" s="8" t="s">
        <v>23</v>
      </c>
      <c r="G50" s="8" t="s">
        <v>13</v>
      </c>
    </row>
    <row r="51" spans="1:8" x14ac:dyDescent="0.2">
      <c r="A51" s="3" t="s">
        <v>12</v>
      </c>
      <c r="B51" s="3" t="s">
        <v>12</v>
      </c>
      <c r="C51" s="3" t="s">
        <v>12</v>
      </c>
      <c r="D51" s="3" t="s">
        <v>12</v>
      </c>
      <c r="E51" s="3" t="s">
        <v>12</v>
      </c>
      <c r="F51" s="3" t="s">
        <v>12</v>
      </c>
      <c r="G51" s="3" t="s">
        <v>12</v>
      </c>
      <c r="H51" s="1" t="s">
        <v>6</v>
      </c>
    </row>
    <row r="52" spans="1:8" x14ac:dyDescent="0.2">
      <c r="A52" s="3">
        <v>2</v>
      </c>
      <c r="B52" s="3">
        <v>4</v>
      </c>
      <c r="C52" s="3">
        <v>2</v>
      </c>
      <c r="D52" s="3">
        <v>1</v>
      </c>
      <c r="E52" s="3">
        <v>12</v>
      </c>
      <c r="F52" s="3">
        <f>2*12</f>
        <v>24</v>
      </c>
      <c r="G52" s="3">
        <v>12</v>
      </c>
      <c r="H52" s="1" t="s">
        <v>7</v>
      </c>
    </row>
    <row r="53" spans="1:8" x14ac:dyDescent="0.2">
      <c r="A53" s="4">
        <f>(1+8.16%)^0.5-1</f>
        <v>4.0000000000000036E-2</v>
      </c>
      <c r="B53" s="4">
        <f>(1+10.25%)^(1/2)-1</f>
        <v>5.0000000000000044E-2</v>
      </c>
      <c r="C53" s="4">
        <v>0.10249999999999999</v>
      </c>
      <c r="D53" s="4">
        <v>0.08</v>
      </c>
      <c r="E53" s="4">
        <f>(1+10%)^(1/12)-1</f>
        <v>7.9741404289037643E-3</v>
      </c>
      <c r="F53" s="4">
        <f>(1+12.68%)^(1/12)-1</f>
        <v>9.9981303892207052E-3</v>
      </c>
      <c r="G53" s="4">
        <f>(1+19.56%)^(1/12)-1</f>
        <v>1.4998714461245566E-2</v>
      </c>
      <c r="H53" s="1" t="s">
        <v>8</v>
      </c>
    </row>
    <row r="54" spans="1:8" x14ac:dyDescent="0.2">
      <c r="A54" s="5">
        <f t="shared" ref="A54:F54" si="0">-B56</f>
        <v>-729720.85570167983</v>
      </c>
      <c r="B54" s="5">
        <f t="shared" si="0"/>
        <v>-571975.54985972296</v>
      </c>
      <c r="C54" s="5">
        <f t="shared" si="0"/>
        <v>-470565.70039004151</v>
      </c>
      <c r="D54" s="5">
        <f t="shared" si="0"/>
        <v>-435708.98184263101</v>
      </c>
      <c r="E54" s="5">
        <f t="shared" si="0"/>
        <v>-339096.63525573828</v>
      </c>
      <c r="F54" s="5">
        <f t="shared" si="0"/>
        <v>-160853.5882873832</v>
      </c>
      <c r="G54" s="3">
        <v>-80000</v>
      </c>
      <c r="H54" s="1" t="s">
        <v>9</v>
      </c>
    </row>
    <row r="55" spans="1:8" x14ac:dyDescent="0.2">
      <c r="A55" s="5">
        <v>-8000</v>
      </c>
      <c r="B55" s="5">
        <v>-8000</v>
      </c>
      <c r="C55" s="5">
        <v>0</v>
      </c>
      <c r="D55" s="5">
        <v>0</v>
      </c>
      <c r="E55" s="5">
        <v>-5000</v>
      </c>
      <c r="F55" s="5">
        <v>-5000</v>
      </c>
      <c r="G55" s="5">
        <v>-5000</v>
      </c>
      <c r="H55" s="1" t="s">
        <v>10</v>
      </c>
    </row>
    <row r="56" spans="1:8" x14ac:dyDescent="0.2">
      <c r="A56" s="6">
        <f t="shared" ref="A56:G56" si="1">FV(A53,A52,A55,A54)</f>
        <v>805586.07752693701</v>
      </c>
      <c r="B56" s="5">
        <f t="shared" si="1"/>
        <v>729720.85570167983</v>
      </c>
      <c r="C56" s="5">
        <f t="shared" si="1"/>
        <v>571975.54985972296</v>
      </c>
      <c r="D56" s="5">
        <f t="shared" si="1"/>
        <v>470565.70039004151</v>
      </c>
      <c r="E56" s="5">
        <f t="shared" si="1"/>
        <v>435708.98184263101</v>
      </c>
      <c r="F56" s="5">
        <f t="shared" si="1"/>
        <v>339096.63525573828</v>
      </c>
      <c r="G56" s="5">
        <f t="shared" si="1"/>
        <v>160853.5882873832</v>
      </c>
      <c r="H56" s="1" t="s">
        <v>11</v>
      </c>
    </row>
    <row r="58" spans="1:8" x14ac:dyDescent="0.2">
      <c r="A58" s="1" t="s">
        <v>30</v>
      </c>
    </row>
    <row r="59" spans="1:8" x14ac:dyDescent="0.2">
      <c r="F59" s="8" t="s">
        <v>31</v>
      </c>
      <c r="G59" s="8" t="s">
        <v>32</v>
      </c>
    </row>
    <row r="60" spans="1:8" x14ac:dyDescent="0.2">
      <c r="F60" s="3" t="s">
        <v>12</v>
      </c>
      <c r="G60" s="3" t="s">
        <v>12</v>
      </c>
      <c r="H60" s="1" t="s">
        <v>6</v>
      </c>
    </row>
    <row r="61" spans="1:8" x14ac:dyDescent="0.2">
      <c r="F61" s="3">
        <f>2*12</f>
        <v>24</v>
      </c>
      <c r="G61" s="3">
        <f>3*12</f>
        <v>36</v>
      </c>
      <c r="H61" s="1" t="s">
        <v>7</v>
      </c>
    </row>
    <row r="62" spans="1:8" x14ac:dyDescent="0.2">
      <c r="F62" s="4">
        <f>(1+10.033869%)^(1/12)-1</f>
        <v>7.9999997163089365E-3</v>
      </c>
      <c r="G62" s="4">
        <f>(1+10.033869%)^(1/12)-1</f>
        <v>7.9999997163089365E-3</v>
      </c>
      <c r="H62" s="1" t="s">
        <v>8</v>
      </c>
    </row>
    <row r="63" spans="1:8" x14ac:dyDescent="0.2">
      <c r="F63" s="11">
        <f>PV(F62,F61,F64,F65)</f>
        <v>-160281.83505756283</v>
      </c>
      <c r="G63" s="9">
        <f>PV(G62,G61,G64,G65)</f>
        <v>-62344.69257095403</v>
      </c>
      <c r="H63" s="1" t="s">
        <v>9</v>
      </c>
    </row>
    <row r="64" spans="1:8" x14ac:dyDescent="0.2">
      <c r="F64" s="9">
        <v>5000</v>
      </c>
      <c r="G64" s="9">
        <v>2000</v>
      </c>
      <c r="H64" s="1" t="s">
        <v>10</v>
      </c>
    </row>
    <row r="65" spans="1:8" x14ac:dyDescent="0.2">
      <c r="F65" s="9">
        <f>-G63</f>
        <v>62344.69257095403</v>
      </c>
      <c r="G65" s="9">
        <v>0</v>
      </c>
      <c r="H65" s="1" t="s">
        <v>11</v>
      </c>
    </row>
    <row r="67" spans="1:8" x14ac:dyDescent="0.2">
      <c r="A67" s="1" t="s">
        <v>33</v>
      </c>
    </row>
    <row r="69" spans="1:8" x14ac:dyDescent="0.2">
      <c r="C69" s="8" t="s">
        <v>13</v>
      </c>
      <c r="D69" s="8" t="s">
        <v>34</v>
      </c>
      <c r="E69" s="8" t="s">
        <v>32</v>
      </c>
      <c r="F69" s="8" t="s">
        <v>26</v>
      </c>
      <c r="G69" s="8" t="s">
        <v>35</v>
      </c>
    </row>
    <row r="70" spans="1:8" x14ac:dyDescent="0.2">
      <c r="C70" s="3" t="s">
        <v>12</v>
      </c>
      <c r="D70" s="3" t="s">
        <v>12</v>
      </c>
      <c r="E70" s="3" t="s">
        <v>12</v>
      </c>
      <c r="F70" s="3" t="s">
        <v>12</v>
      </c>
      <c r="G70" s="3" t="s">
        <v>12</v>
      </c>
      <c r="H70" s="1" t="s">
        <v>6</v>
      </c>
    </row>
    <row r="71" spans="1:8" x14ac:dyDescent="0.2">
      <c r="C71" s="3">
        <v>12</v>
      </c>
      <c r="D71" s="3">
        <v>4</v>
      </c>
      <c r="E71" s="3">
        <f>6</f>
        <v>6</v>
      </c>
      <c r="F71" s="3">
        <v>1</v>
      </c>
      <c r="G71" s="3">
        <f>6*5</f>
        <v>30</v>
      </c>
      <c r="H71" s="1" t="s">
        <v>7</v>
      </c>
    </row>
    <row r="72" spans="1:8" x14ac:dyDescent="0.2">
      <c r="C72" s="4">
        <f>(1+10%)^(1/12)-1</f>
        <v>7.9741404289037643E-3</v>
      </c>
      <c r="D72" s="4">
        <f>(1+10%)^0.25-1</f>
        <v>2.4113689084445111E-2</v>
      </c>
      <c r="E72" s="4">
        <f>(1+10%)^0.5-1</f>
        <v>4.8808848170151631E-2</v>
      </c>
      <c r="F72" s="4">
        <v>0.1</v>
      </c>
      <c r="G72" s="4">
        <f>(1+10%)^(2/12)-1</f>
        <v>1.6011867773387367E-2</v>
      </c>
      <c r="H72" s="1" t="s">
        <v>8</v>
      </c>
    </row>
    <row r="73" spans="1:8" x14ac:dyDescent="0.2">
      <c r="C73" s="11">
        <f>PV(C72,C71,C74,C75)</f>
        <v>-452104.721739773</v>
      </c>
      <c r="D73" s="9">
        <f>PV(D72,D71,D74,D75)</f>
        <v>-371909.82779111288</v>
      </c>
      <c r="E73" s="9">
        <f>PV(E72,E71,E74,E75)</f>
        <v>-346895.48003174609</v>
      </c>
      <c r="F73" s="9">
        <f>PV(F72,F71,F74,F75)</f>
        <v>-258271.16529895822</v>
      </c>
      <c r="G73" s="9">
        <f>PV(G72,G71,G74,G75)</f>
        <v>-284098.28182885406</v>
      </c>
      <c r="H73" s="1" t="s">
        <v>9</v>
      </c>
    </row>
    <row r="74" spans="1:8" x14ac:dyDescent="0.2">
      <c r="C74" s="9">
        <v>10000</v>
      </c>
      <c r="D74" s="9">
        <v>15000</v>
      </c>
      <c r="E74" s="9">
        <v>30000</v>
      </c>
      <c r="F74" s="9">
        <v>0</v>
      </c>
      <c r="G74" s="9">
        <v>12000</v>
      </c>
      <c r="H74" s="1" t="s">
        <v>10</v>
      </c>
    </row>
    <row r="75" spans="1:8" x14ac:dyDescent="0.2">
      <c r="C75" s="9">
        <f>-D73</f>
        <v>371909.82779111288</v>
      </c>
      <c r="D75" s="9">
        <f>-E73</f>
        <v>346895.48003174609</v>
      </c>
      <c r="E75" s="9">
        <f>-F73</f>
        <v>258271.16529895822</v>
      </c>
      <c r="F75" s="9">
        <f>-G73</f>
        <v>284098.28182885406</v>
      </c>
      <c r="G75" s="9">
        <v>0</v>
      </c>
      <c r="H75" s="1" t="s">
        <v>11</v>
      </c>
    </row>
    <row r="77" spans="1:8" x14ac:dyDescent="0.2">
      <c r="A77" s="1" t="s">
        <v>36</v>
      </c>
    </row>
    <row r="79" spans="1:8" x14ac:dyDescent="0.2">
      <c r="C79" s="8" t="s">
        <v>41</v>
      </c>
      <c r="D79" s="8" t="s">
        <v>40</v>
      </c>
      <c r="E79" s="8" t="s">
        <v>39</v>
      </c>
      <c r="F79" s="8" t="s">
        <v>38</v>
      </c>
      <c r="G79" s="8" t="s">
        <v>37</v>
      </c>
    </row>
    <row r="80" spans="1:8" x14ac:dyDescent="0.2"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1" t="s">
        <v>6</v>
      </c>
    </row>
    <row r="81" spans="1:8" x14ac:dyDescent="0.2">
      <c r="C81" s="3">
        <f>4*2</f>
        <v>8</v>
      </c>
      <c r="D81" s="3">
        <f>3*4</f>
        <v>12</v>
      </c>
      <c r="E81" s="3">
        <v>5</v>
      </c>
      <c r="F81" s="3">
        <v>4</v>
      </c>
      <c r="G81" s="3">
        <v>12</v>
      </c>
      <c r="H81" s="1" t="s">
        <v>7</v>
      </c>
    </row>
    <row r="82" spans="1:8" x14ac:dyDescent="0.2">
      <c r="C82" s="4">
        <f>(1+8.243216%)^(1/4)-1</f>
        <v>2.0000000000000018E-2</v>
      </c>
      <c r="D82" s="4">
        <f>(1+6.136355%)^(1/4)-1</f>
        <v>1.499999985057543E-2</v>
      </c>
      <c r="E82" s="4">
        <v>0.12</v>
      </c>
      <c r="F82" s="4">
        <v>0.14000000000000001</v>
      </c>
      <c r="G82" s="4">
        <f>(1+15.389462%)^(1/12)-1</f>
        <v>1.1999999694312313E-2</v>
      </c>
      <c r="H82" s="1" t="s">
        <v>8</v>
      </c>
    </row>
    <row r="83" spans="1:8" x14ac:dyDescent="0.2">
      <c r="C83" s="11">
        <f>PV(C82,C81,C84,C85)</f>
        <v>-451587.15759720909</v>
      </c>
      <c r="D83" s="9">
        <f>PV(D82,D81,D84,D85)</f>
        <v>-357446.94853665325</v>
      </c>
      <c r="E83" s="9">
        <f>PV(E82,E81,E84,E85)</f>
        <v>-166545.837851524</v>
      </c>
      <c r="F83" s="9">
        <f>PV(F82,F81,F84,F85)</f>
        <v>-134689.48820920903</v>
      </c>
      <c r="G83" s="9">
        <f>PV(G82,G81,G84,G85)</f>
        <v>-44456.579556143748</v>
      </c>
      <c r="H83" s="1" t="s">
        <v>9</v>
      </c>
    </row>
    <row r="84" spans="1:8" x14ac:dyDescent="0.2">
      <c r="C84" s="9">
        <f>D84</f>
        <v>20000</v>
      </c>
      <c r="D84" s="9">
        <v>20000</v>
      </c>
      <c r="E84" s="9">
        <v>25000</v>
      </c>
      <c r="F84" s="9">
        <v>25000</v>
      </c>
      <c r="G84" s="9">
        <v>4000</v>
      </c>
      <c r="H84" s="1" t="s">
        <v>10</v>
      </c>
    </row>
    <row r="85" spans="1:8" x14ac:dyDescent="0.2">
      <c r="C85" s="9">
        <f>-D83</f>
        <v>357446.94853665325</v>
      </c>
      <c r="D85" s="9">
        <f>-E83</f>
        <v>166545.837851524</v>
      </c>
      <c r="E85" s="9">
        <f>-F83</f>
        <v>134689.48820920903</v>
      </c>
      <c r="F85" s="12">
        <f>-G83+60000</f>
        <v>104456.57955614376</v>
      </c>
      <c r="G85" s="9">
        <v>0</v>
      </c>
      <c r="H85" s="1" t="s">
        <v>11</v>
      </c>
    </row>
    <row r="87" spans="1:8" x14ac:dyDescent="0.2">
      <c r="A87" s="1" t="s">
        <v>42</v>
      </c>
    </row>
    <row r="88" spans="1:8" x14ac:dyDescent="0.2">
      <c r="G88" s="8" t="s">
        <v>43</v>
      </c>
    </row>
    <row r="89" spans="1:8" x14ac:dyDescent="0.2">
      <c r="G89" s="3" t="s">
        <v>12</v>
      </c>
      <c r="H89" s="1" t="s">
        <v>6</v>
      </c>
    </row>
    <row r="90" spans="1:8" x14ac:dyDescent="0.2">
      <c r="G90" s="3">
        <v>40</v>
      </c>
      <c r="H90" s="1" t="s">
        <v>7</v>
      </c>
    </row>
    <row r="91" spans="1:8" x14ac:dyDescent="0.2">
      <c r="E91" s="1" t="s">
        <v>44</v>
      </c>
      <c r="G91" s="4">
        <f>RATE(G90,G93,G92,G94)</f>
        <v>2.5600795523946381E-3</v>
      </c>
      <c r="H91" s="1" t="s">
        <v>8</v>
      </c>
    </row>
    <row r="92" spans="1:8" x14ac:dyDescent="0.2">
      <c r="G92" s="9">
        <v>380000</v>
      </c>
      <c r="H92" s="1" t="s">
        <v>9</v>
      </c>
    </row>
    <row r="93" spans="1:8" x14ac:dyDescent="0.2">
      <c r="G93" s="9">
        <v>-10006.86</v>
      </c>
      <c r="H93" s="1" t="s">
        <v>10</v>
      </c>
    </row>
    <row r="94" spans="1:8" x14ac:dyDescent="0.2">
      <c r="G94" s="3">
        <v>0</v>
      </c>
      <c r="H94" s="1" t="s">
        <v>11</v>
      </c>
    </row>
    <row r="96" spans="1:8" x14ac:dyDescent="0.2">
      <c r="E96" s="1" t="s">
        <v>45</v>
      </c>
      <c r="G96" s="13">
        <f>(1+G91)^12-1</f>
        <v>3.1157231793209395E-2</v>
      </c>
    </row>
    <row r="98" spans="1:8" x14ac:dyDescent="0.2">
      <c r="A98" s="1" t="s">
        <v>46</v>
      </c>
    </row>
    <row r="99" spans="1:8" x14ac:dyDescent="0.2">
      <c r="D99" s="8" t="s">
        <v>50</v>
      </c>
      <c r="E99" s="8" t="s">
        <v>49</v>
      </c>
      <c r="F99" s="8" t="s">
        <v>48</v>
      </c>
      <c r="G99" s="8" t="s">
        <v>47</v>
      </c>
    </row>
    <row r="100" spans="1:8" x14ac:dyDescent="0.2">
      <c r="D100" s="3" t="s">
        <v>12</v>
      </c>
      <c r="E100" s="3" t="s">
        <v>12</v>
      </c>
      <c r="F100" s="3" t="s">
        <v>12</v>
      </c>
      <c r="G100" s="3" t="s">
        <v>12</v>
      </c>
      <c r="H100" s="1" t="s">
        <v>6</v>
      </c>
    </row>
    <row r="101" spans="1:8" x14ac:dyDescent="0.2">
      <c r="D101" s="3">
        <f>4*12</f>
        <v>48</v>
      </c>
      <c r="E101" s="3">
        <f>4*5</f>
        <v>20</v>
      </c>
      <c r="F101" s="3">
        <f>4*6</f>
        <v>24</v>
      </c>
      <c r="G101" s="3">
        <v>36</v>
      </c>
      <c r="H101" s="1" t="s">
        <v>7</v>
      </c>
    </row>
    <row r="102" spans="1:8" x14ac:dyDescent="0.2">
      <c r="D102" s="4">
        <f>(1+6.9753755%)^(1/12)-1</f>
        <v>5.6348569583279939E-3</v>
      </c>
      <c r="E102" s="4">
        <f>(1+7.3967433%)^0.25-1</f>
        <v>1.8000000005687244E-2</v>
      </c>
      <c r="F102" s="4">
        <f>(1+9.34432639%)^(2/12)-1</f>
        <v>1.4999999993403179E-2</v>
      </c>
      <c r="G102" s="4">
        <f>(1+12.68250301%)^(1/12)-1</f>
        <v>9.9999999976121412E-3</v>
      </c>
      <c r="H102" s="1" t="s">
        <v>8</v>
      </c>
    </row>
    <row r="103" spans="1:8" x14ac:dyDescent="0.2">
      <c r="D103" s="9">
        <f>-E105</f>
        <v>-523426.64999217261</v>
      </c>
      <c r="E103" s="9">
        <f>-F105</f>
        <v>-266324.64142744278</v>
      </c>
      <c r="F103" s="9">
        <f>-G105</f>
        <v>-86153.756714533622</v>
      </c>
      <c r="G103" s="9">
        <v>0</v>
      </c>
      <c r="H103" s="1" t="s">
        <v>9</v>
      </c>
    </row>
    <row r="104" spans="1:8" x14ac:dyDescent="0.2">
      <c r="D104" s="11">
        <f>PMT(D102,D101,D103,D105)</f>
        <v>12476.34525512885</v>
      </c>
      <c r="E104" s="9">
        <v>-6000</v>
      </c>
      <c r="F104" s="9">
        <v>-5000</v>
      </c>
      <c r="G104" s="9">
        <v>-2000</v>
      </c>
      <c r="H104" s="1" t="s">
        <v>10</v>
      </c>
    </row>
    <row r="105" spans="1:8" x14ac:dyDescent="0.2">
      <c r="D105" s="9">
        <v>0</v>
      </c>
      <c r="E105" s="9">
        <f>FV(E102,E101,E104,E103)</f>
        <v>523426.64999217261</v>
      </c>
      <c r="F105" s="9">
        <f>FV(F102,F101,F104,F103)</f>
        <v>266324.64142744278</v>
      </c>
      <c r="G105" s="9">
        <f>FV(G102,G101,G104,G103)</f>
        <v>86153.756714533622</v>
      </c>
      <c r="H105" s="1" t="s">
        <v>11</v>
      </c>
    </row>
    <row r="107" spans="1:8" x14ac:dyDescent="0.2">
      <c r="A107" s="1" t="s">
        <v>51</v>
      </c>
    </row>
    <row r="109" spans="1:8" x14ac:dyDescent="0.2">
      <c r="A109" s="1" t="s">
        <v>52</v>
      </c>
      <c r="B109" s="1" t="s">
        <v>53</v>
      </c>
    </row>
    <row r="110" spans="1:8" x14ac:dyDescent="0.2">
      <c r="A110" s="1" t="s">
        <v>54</v>
      </c>
      <c r="B110" s="13">
        <f>(1+10%/4)^4-1</f>
        <v>0.10381289062499977</v>
      </c>
      <c r="C110" s="1" t="s">
        <v>60</v>
      </c>
    </row>
    <row r="111" spans="1:8" x14ac:dyDescent="0.2">
      <c r="A111" s="1" t="s">
        <v>55</v>
      </c>
      <c r="B111" s="4">
        <f>(1+4%)^2-1</f>
        <v>8.1600000000000117E-2</v>
      </c>
    </row>
    <row r="112" spans="1:8" x14ac:dyDescent="0.2">
      <c r="A112" s="1" t="s">
        <v>56</v>
      </c>
      <c r="B112" s="4">
        <f>(1+3%/6)^12-1</f>
        <v>6.1677811864497611E-2</v>
      </c>
    </row>
    <row r="113" spans="1:4" x14ac:dyDescent="0.2">
      <c r="A113" s="1" t="s">
        <v>57</v>
      </c>
      <c r="B113" s="4">
        <f>(1+10%)^1-1</f>
        <v>0.10000000000000009</v>
      </c>
    </row>
    <row r="115" spans="1:4" x14ac:dyDescent="0.2">
      <c r="A115" s="1" t="s">
        <v>59</v>
      </c>
    </row>
    <row r="116" spans="1:4" x14ac:dyDescent="0.2">
      <c r="C116" s="3" t="s">
        <v>12</v>
      </c>
      <c r="D116" s="1" t="s">
        <v>6</v>
      </c>
    </row>
    <row r="117" spans="1:4" x14ac:dyDescent="0.2">
      <c r="C117" s="3">
        <f>5*12</f>
        <v>60</v>
      </c>
      <c r="D117" s="1" t="s">
        <v>7</v>
      </c>
    </row>
    <row r="118" spans="1:4" x14ac:dyDescent="0.2">
      <c r="C118" s="4">
        <f>(1+8%)^(1/12)-1</f>
        <v>6.4340301100034303E-3</v>
      </c>
      <c r="D118" s="1" t="s">
        <v>8</v>
      </c>
    </row>
    <row r="119" spans="1:4" x14ac:dyDescent="0.2">
      <c r="C119" s="9">
        <v>800000</v>
      </c>
      <c r="D119" s="1" t="s">
        <v>9</v>
      </c>
    </row>
    <row r="120" spans="1:4" x14ac:dyDescent="0.2">
      <c r="B120" s="1" t="s">
        <v>54</v>
      </c>
      <c r="C120" s="11">
        <f>PMT(C118,C117,C119,C121)</f>
        <v>-16114.443699277381</v>
      </c>
      <c r="D120" s="1" t="s">
        <v>10</v>
      </c>
    </row>
    <row r="121" spans="1:4" x14ac:dyDescent="0.2">
      <c r="C121" s="9">
        <v>0</v>
      </c>
      <c r="D121" s="1" t="s">
        <v>11</v>
      </c>
    </row>
    <row r="123" spans="1:4" x14ac:dyDescent="0.2">
      <c r="B123" s="1" t="s">
        <v>55</v>
      </c>
      <c r="C123" s="11">
        <f>(800000/60+800000/60*59*C118)</f>
        <v>18394.770353202701</v>
      </c>
    </row>
    <row r="125" spans="1:4" x14ac:dyDescent="0.2">
      <c r="A125" s="1" t="s">
        <v>63</v>
      </c>
    </row>
    <row r="127" spans="1:4" x14ac:dyDescent="0.2">
      <c r="A127" s="1" t="s">
        <v>64</v>
      </c>
      <c r="C127" s="3" t="s">
        <v>12</v>
      </c>
      <c r="D127" s="1" t="s">
        <v>6</v>
      </c>
    </row>
    <row r="128" spans="1:4" x14ac:dyDescent="0.2">
      <c r="C128" s="3">
        <f>8*12</f>
        <v>96</v>
      </c>
      <c r="D128" s="1" t="s">
        <v>7</v>
      </c>
    </row>
    <row r="129" spans="1:4" x14ac:dyDescent="0.2">
      <c r="C129" s="4">
        <f>(1+8%)^(1/12)-1</f>
        <v>6.4340301100034303E-3</v>
      </c>
      <c r="D129" s="1" t="s">
        <v>8</v>
      </c>
    </row>
    <row r="130" spans="1:4" x14ac:dyDescent="0.2">
      <c r="C130" s="9">
        <v>400000</v>
      </c>
      <c r="D130" s="1" t="s">
        <v>9</v>
      </c>
    </row>
    <row r="131" spans="1:4" x14ac:dyDescent="0.2">
      <c r="C131" s="14">
        <f>PMT(C129,C128,C130,C132)</f>
        <v>-5598.0810461641267</v>
      </c>
      <c r="D131" s="1" t="s">
        <v>10</v>
      </c>
    </row>
    <row r="132" spans="1:4" x14ac:dyDescent="0.2">
      <c r="C132" s="9">
        <v>0</v>
      </c>
      <c r="D132" s="1" t="s">
        <v>11</v>
      </c>
    </row>
    <row r="134" spans="1:4" x14ac:dyDescent="0.2">
      <c r="A134" s="1" t="s">
        <v>65</v>
      </c>
      <c r="C134" s="3" t="s">
        <v>12</v>
      </c>
      <c r="D134" s="1" t="s">
        <v>6</v>
      </c>
    </row>
    <row r="135" spans="1:4" x14ac:dyDescent="0.2">
      <c r="C135" s="3">
        <f>96-36</f>
        <v>60</v>
      </c>
      <c r="D135" s="1" t="s">
        <v>7</v>
      </c>
    </row>
    <row r="136" spans="1:4" x14ac:dyDescent="0.2">
      <c r="C136" s="4">
        <f>(1+8%)^(1/12)-1</f>
        <v>6.4340301100034303E-3</v>
      </c>
      <c r="D136" s="1" t="s">
        <v>8</v>
      </c>
    </row>
    <row r="137" spans="1:4" x14ac:dyDescent="0.2">
      <c r="C137" s="15">
        <f>PV(C136,C135,C138,C139)</f>
        <v>277916.19248588366</v>
      </c>
      <c r="D137" s="1" t="s">
        <v>9</v>
      </c>
    </row>
    <row r="138" spans="1:4" x14ac:dyDescent="0.2">
      <c r="C138" s="14">
        <f>C131</f>
        <v>-5598.0810461641267</v>
      </c>
      <c r="D138" s="1" t="s">
        <v>10</v>
      </c>
    </row>
    <row r="139" spans="1:4" x14ac:dyDescent="0.2">
      <c r="C139" s="9">
        <v>0</v>
      </c>
      <c r="D139" s="1" t="s">
        <v>11</v>
      </c>
    </row>
    <row r="141" spans="1:4" x14ac:dyDescent="0.2">
      <c r="A141" s="1" t="s">
        <v>66</v>
      </c>
      <c r="C141" s="11">
        <f>C137*112.3/107</f>
        <v>291682.13473051152</v>
      </c>
    </row>
    <row r="143" spans="1:4" x14ac:dyDescent="0.2">
      <c r="A143" s="1" t="s">
        <v>67</v>
      </c>
    </row>
    <row r="145" spans="1:4" x14ac:dyDescent="0.2">
      <c r="B145" s="1" t="s">
        <v>68</v>
      </c>
      <c r="C145" s="1" t="s">
        <v>69</v>
      </c>
    </row>
    <row r="146" spans="1:4" x14ac:dyDescent="0.2">
      <c r="B146" s="1">
        <v>0</v>
      </c>
      <c r="C146" s="16">
        <v>-200000</v>
      </c>
    </row>
    <row r="147" spans="1:4" x14ac:dyDescent="0.2">
      <c r="B147" s="1">
        <v>1</v>
      </c>
      <c r="C147" s="16">
        <v>50000</v>
      </c>
    </row>
    <row r="148" spans="1:4" x14ac:dyDescent="0.2">
      <c r="B148" s="1">
        <v>2</v>
      </c>
      <c r="C148" s="16">
        <v>50000</v>
      </c>
    </row>
    <row r="149" spans="1:4" x14ac:dyDescent="0.2">
      <c r="B149" s="1">
        <v>3</v>
      </c>
      <c r="C149" s="16">
        <v>50000</v>
      </c>
    </row>
    <row r="150" spans="1:4" x14ac:dyDescent="0.2">
      <c r="B150" s="1">
        <v>4</v>
      </c>
      <c r="C150" s="16">
        <v>80000</v>
      </c>
    </row>
    <row r="151" spans="1:4" x14ac:dyDescent="0.2">
      <c r="B151" s="1">
        <v>5</v>
      </c>
      <c r="C151" s="16">
        <v>80000</v>
      </c>
    </row>
    <row r="152" spans="1:4" x14ac:dyDescent="0.2">
      <c r="B152" s="1">
        <v>6</v>
      </c>
      <c r="C152" s="16">
        <v>80000</v>
      </c>
    </row>
    <row r="153" spans="1:4" x14ac:dyDescent="0.2">
      <c r="B153" s="1">
        <v>7</v>
      </c>
      <c r="C153" s="16">
        <v>80000</v>
      </c>
    </row>
    <row r="154" spans="1:4" x14ac:dyDescent="0.2">
      <c r="C154" s="16"/>
    </row>
    <row r="155" spans="1:4" x14ac:dyDescent="0.2">
      <c r="A155" s="1" t="s">
        <v>71</v>
      </c>
      <c r="C155" s="16">
        <f>NPV(10%,C147:C153)+C146</f>
        <v>114867.94568590773</v>
      </c>
      <c r="D155" s="1" t="s">
        <v>70</v>
      </c>
    </row>
    <row r="156" spans="1:4" x14ac:dyDescent="0.2">
      <c r="A156" s="1" t="s">
        <v>74</v>
      </c>
      <c r="C156" s="17">
        <f>IRR(C146:C153)</f>
        <v>0.23990625482644745</v>
      </c>
      <c r="D156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2025-02-21T18:15:38Z</dcterms:created>
  <dcterms:modified xsi:type="dcterms:W3CDTF">2025-10-19T14:42:22Z</dcterms:modified>
</cp:coreProperties>
</file>